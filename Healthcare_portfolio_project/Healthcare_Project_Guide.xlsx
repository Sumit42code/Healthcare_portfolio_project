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5280e1de1843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Brief" sheetId="1" r:id="R46f978297d4d40cc"/>
    <x:sheet xmlns:r="http://schemas.openxmlformats.org/officeDocument/2006/relationships" name="Data Dictionary" sheetId="2" r:id="Rb560a01e050e4756"/>
    <x:sheet xmlns:r="http://schemas.openxmlformats.org/officeDocument/2006/relationships" name="KPI Dictionary" sheetId="3" r:id="R0c74ba78c3404e3c"/>
    <x:sheet xmlns:r="http://schemas.openxmlformats.org/officeDocument/2006/relationships" name="Power BI Plan" sheetId="4" r:id="R72a8ce0152c341db"/>
    <x:sheet xmlns:r="http://schemas.openxmlformats.org/officeDocument/2006/relationships" name="Cleaning Log" sheetId="5" r:id="Ra485c6d969af4e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%"/>
  </x:numFmts>
  <x:fonts count="12">
    <x:font>
      <x:sz val="11"/>
      <x:name val="Carlito"/>
    </x:font>
    <x:font>
      <x:b/>
      <x:sz val="11"/>
      <x:color rgb="FFFFFFFF"/>
      <x:name val="Carlito"/>
    </x:font>
    <x:font>
      <x:b/>
      <x:sz val="11"/>
      <x:color rgb="FF7A4E00"/>
      <x:name val="Carlito"/>
    </x:font>
    <x:font>
      <x:sz val="11"/>
      <x:color rgb="FF17324D"/>
      <x:name val="Carlito"/>
    </x:font>
    <x:font>
      <x:b/>
      <x:sz val="11"/>
      <x:color rgb="FF17324D"/>
      <x:name val="Carlito"/>
    </x:font>
    <x:font>
      <x:b/>
      <x:sz val="11"/>
      <x:color rgb="FFFFFFFF"/>
      <x:name val="Aptos"/>
    </x:font>
    <x:font>
      <x:sz val="11"/>
      <x:name val="Aptos"/>
    </x:font>
    <x:font>
      <x:b/>
      <x:sz val="11"/>
      <x:color rgb="FF7A4E00"/>
      <x:name val="Aptos"/>
    </x:font>
    <x:font>
      <x:sz val="11"/>
      <x:color rgb="FF17324D"/>
      <x:name val="Aptos"/>
    </x:font>
    <x:font>
      <x:b/>
      <x:sz val="11"/>
      <x:color rgb="FF17324D"/>
      <x:name val="Aptos"/>
    </x:font>
    <x:font>
      <x:sz val="11"/>
      <x:color rgb="FF7A4E00"/>
      <x:name val="Carlito"/>
    </x:font>
    <x:font>
      <x:sz val="11"/>
      <x:color rgb="FF7A4E00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4D6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F3F5F7"/>
      </x:patternFill>
    </x:fill>
    <x:fill>
      <x:patternFill patternType="solid">
        <x:fgColor rgb="FFDDF3F0"/>
      </x:patternFill>
    </x:fill>
    <x:fill>
      <x:patternFill patternType="solid">
        <x:fgColor rgb="FFFFF9E8"/>
      </x:patternFill>
    </x:fill>
  </x:fills>
  <x:borders count="5">
    <x:border/>
    <x:border>
      <x:left style="thin">
        <x:color rgb="FFD9E0E5"/>
      </x:left>
      <x:right style="thin">
        <x:color rgb="FFD9E0E5"/>
      </x:right>
      <x:top style="thin">
        <x:color rgb="FFD9E0E5"/>
      </x:top>
      <x:bottom style="thin">
        <x:color rgb="FFD9E0E5"/>
      </x:bottom>
    </x:border>
    <x:border>
      <x:bottom style="thin">
        <x:color rgb="FFD9E0E5"/>
      </x:bottom>
    </x:border>
    <x:border>
      <x:top style="thin">
        <x:color rgb="FFD9E0E5"/>
      </x:top>
      <x:bottom style="thin">
        <x:color rgb="FFD9E0E5"/>
      </x:bottom>
    </x:border>
    <x:border>
      <x:top style="thin">
        <x:color rgb="FFD9E0E5"/>
      </x:top>
      <x:bottom style="thin">
        <x:color rgb="FFB9C3CA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left"/>
    </x:xf>
    <x:xf numFmtId="0" fontId="1" fillId="4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200" fontId="0" fillId="6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2" borderId="2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left" vertical="center"/>
    </x:xf>
    <x:xf numFmtId="0" fontId="8" fillId="5" borderId="0" xfId="0" applyNumberFormat="1" applyFont="1" applyFill="1" applyBorder="1" applyAlignment="1">
      <x:alignment vertical="center" wrapText="1"/>
    </x:xf>
    <x:xf numFmtId="0" fontId="9" fillId="6" borderId="1" xfId="0" applyNumberFormat="1" applyFont="1" applyFill="1" applyBorder="1" applyAlignment="1">
      <x:alignment vertical="center" wrapText="1"/>
    </x:xf>
    <x:xf numFmtId="200" fontId="6" fillId="6" borderId="1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5" fillId="2" borderId="2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horizontal="center"/>
    </x:xf>
    <x:xf numFmtId="0" fontId="6" fillId="0" borderId="3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horizontal="center"/>
    </x:xf>
    <x:xf numFmtId="0" fontId="6" fillId="0" borderId="4" xfId="0" applyNumberFormat="1" applyFont="1" applyFill="1" applyBorder="1" applyAlignment="1">
      <x:alignment wrapText="1"/>
    </x:xf>
    <x:xf numFmtId="0" fontId="9" fillId="7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/>
    </x:xf>
    <x:xf numFmtId="201" fontId="4" fillId="5" borderId="0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wrapText="1"/>
    </x:xf>
    <x:xf numFmtId="0" fontId="0" fillId="8" borderId="3" xfId="0" applyNumberFormat="1" applyFont="1" applyFill="1" applyBorder="1" applyAlignment="1">
      <x:alignment wrapText="1"/>
    </x:xf>
    <x:xf numFmtId="0" fontId="0" fillId="8" borderId="4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vertical="center"/>
    </x:xf>
    <x:xf numFmtId="200" fontId="9" fillId="5" borderId="0" xfId="0" applyNumberFormat="1" applyFont="1" applyFill="1" applyBorder="1" applyAlignment="1">
      <x:alignment vertical="center"/>
    </x:xf>
    <x:xf numFmtId="201" fontId="9" fillId="5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 applyAlignment="1">
      <x:alignment wrapText="1"/>
    </x:xf>
    <x:xf numFmtId="0" fontId="6" fillId="8" borderId="3" xfId="0" applyNumberFormat="1" applyFont="1" applyFill="1" applyBorder="1" applyAlignment="1">
      <x:alignment wrapText="1"/>
    </x:xf>
    <x:xf numFmtId="0" fontId="6" fillId="8" borderId="4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77245"/>
      </x:font>
      <x:fill>
        <x:patternFill patternType="solid">
          <x:bgColor rgb="FFE8F5EE"/>
        </x:patternFill>
      </x:fill>
    </x:dxf>
    <x:dxf>
      <x:font>
        <x:b/>
        <x:color rgb="FF7A4E00"/>
      </x:font>
      <x:fill>
        <x:patternFill patternType="solid">
          <x:bgColor rgb="FFFFF4D6"/>
        </x:patternFill>
      </x:fill>
    </x:dxf>
    <x:dxf>
      <x:font>
        <x:color rgb="FFB42318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2622194f0943c6" /><Relationship Type="http://schemas.openxmlformats.org/officeDocument/2006/relationships/theme" Target="/xl/theme/theme1.xml" Id="Rff598d962b054c65" /><Relationship Type="http://schemas.openxmlformats.org/officeDocument/2006/relationships/sharedStrings" Target="/xl/sharedStrings.xml" Id="Rd0c9cd63dd6c43b6" /><Relationship Type="http://schemas.openxmlformats.org/officeDocument/2006/relationships/worksheet" Target="/xl/worksheets/sheet1.xml" Id="R46f978297d4d40cc" /><Relationship Type="http://schemas.openxmlformats.org/officeDocument/2006/relationships/worksheet" Target="/xl/worksheets/sheet2.xml" Id="Rb560a01e050e4756" /><Relationship Type="http://schemas.openxmlformats.org/officeDocument/2006/relationships/worksheet" Target="/xl/worksheets/sheet3.xml" Id="R0c74ba78c3404e3c" /><Relationship Type="http://schemas.openxmlformats.org/officeDocument/2006/relationships/worksheet" Target="/xl/worksheets/sheet4.xml" Id="R72a8ce0152c341db" /><Relationship Type="http://schemas.openxmlformats.org/officeDocument/2006/relationships/worksheet" Target="/xl/worksheets/sheet5.xml" Id="Ra485c6d969af4ec8" /></Relationships>
</file>

<file path=xl/tables/table1.xml><?xml version="1.0" encoding="utf-8"?>
<x:table xmlns:x="http://schemas.openxmlformats.org/spreadsheetml/2006/main" id="1" name="DataDictionaryTable" displayName="DataDictionaryTable" ref="A4:G53" headerRowCount="1" totalsRowCount="0" totalsRowShown="0">
  <x:tableColumns count="7">
    <x:tableColumn id="1" name="Table"/>
    <x:tableColumn id="2" name="Column"/>
    <x:tableColumn id="3" name="Meaning"/>
    <x:tableColumn id="4" name="Clean Type"/>
    <x:tableColumn id="5" name="Required?"/>
    <x:tableColumn id="6" name="Valid Values / Rule"/>
    <x:tableColumn id="7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KPIDictionaryTable" displayName="KPIDictionaryTable" ref="A4:G12" headerRowCount="1" totalsRowCount="0" totalsRowShown="0">
  <x:tableColumns count="7">
    <x:tableColumn id="1" name="KPI"/>
    <x:tableColumn id="2" name="Definition"/>
    <x:tableColumn id="3" name="Role"/>
    <x:tableColumn id="4" name="Source"/>
    <x:tableColumn id="5" name="Unit"/>
    <x:tableColumn id="6" name="Why It Matters"/>
    <x:tableColumn id="7" name="Guardrail / Caveat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PowerBIPlanTable" displayName="PowerBIPlanTable" ref="A4:F16" headerRowCount="1" totalsRowCount="0" totalsRowShown="0">
  <x:tableColumns count="6">
    <x:tableColumn id="1" name="Page"/>
    <x:tableColumn id="2" name="Section"/>
    <x:tableColumn id="3" name="Visual"/>
    <x:tableColumn id="4" name="Measure"/>
    <x:tableColumn id="5" name="Dimension / Drill"/>
    <x:tableColumn id="6" name="Question Answere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leaningLogTable" displayName="CleaningLogTable" ref="A6:H25" headerRowCount="1" totalsRowCount="0" totalsRowShown="0">
  <x:tableColumns count="8">
    <x:tableColumn id="1" name="Issue ID"/>
    <x:tableColumn id="2" name="Table"/>
    <x:tableColumn id="3" name="Column"/>
    <x:tableColumn id="4" name="Issue Type"/>
    <x:tableColumn id="5" name="Planned Action"/>
    <x:tableColumn id="6" name="Rows Affected"/>
    <x:tableColumn id="7" name="Validation Result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85ef2697b4547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abc8e6b522f4f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396acf3c6e41f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9ed62c37cc846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0" customHeight="1">
      <x:c r="A1" s="39" t="str">
        <x:v>Healthcare Access &amp; Patient Flow Analytics</x:v>
      </x:c>
      <x:c r="B1" s="39" t="str">
        <x:v>Healthcare Access &amp; Patient Flow Analytics</x:v>
      </x:c>
      <x:c r="C1" s="39" t="str">
        <x:v>Healthcare Access &amp; Patient Flow Analytics</x:v>
      </x:c>
      <x:c r="D1" s="39" t="str">
        <x:v>Healthcare Access &amp; Patient Flow Analytics</x:v>
      </x:c>
      <x:c r="E1" s="39" t="str">
        <x:v>Healthcare Access &amp; Patient Flow Analytics</x:v>
      </x:c>
      <x:c r="F1" s="39" t="str">
        <x:v>Healthcare Access &amp; Patient Flow Analytics</x:v>
      </x:c>
    </x:row>
    <x:row r="2" ht="30" customHeight="1">
      <x:c r="A2" s="39" t="str">
        <x:v>Healthcare Access &amp; Patient Flow Analytics</x:v>
      </x:c>
      <x:c r="B2" s="39" t="str">
        <x:v>Healthcare Access &amp; Patient Flow Analytics</x:v>
      </x:c>
      <x:c r="C2" s="39" t="str">
        <x:v>Healthcare Access &amp; Patient Flow Analytics</x:v>
      </x:c>
      <x:c r="D2" s="39" t="str">
        <x:v>Healthcare Access &amp; Patient Flow Analytics</x:v>
      </x:c>
      <x:c r="E2" s="39" t="str">
        <x:v>Healthcare Access &amp; Patient Flow Analytics</x:v>
      </x:c>
      <x:c r="F2" s="39" t="str">
        <x:v>Healthcare Access &amp; Patient Flow Analytics</x:v>
      </x:c>
    </x:row>
    <x:row r="3" ht="15" hidden="0" customHeight="1">
      <x:c r="A3" s="40"/>
      <x:c r="B3" s="40"/>
      <x:c r="C3" s="40"/>
      <x:c r="D3" s="40"/>
      <x:c r="E3" s="40"/>
      <x:c r="F3" s="40"/>
    </x:row>
    <x:row r="4" ht="15" hidden="0" customHeight="1">
      <x:c r="A4" s="41" t="str">
        <x:v>SYNTHETIC DATA ONLY — not for clinical or patient-level decision-making</x:v>
      </x:c>
      <x:c r="B4" s="41" t="str">
        <x:v>SYNTHETIC DATA ONLY — not for clinical or patient-level decision-making</x:v>
      </x:c>
      <x:c r="C4" s="41" t="str">
        <x:v>SYNTHETIC DATA ONLY — not for clinical or patient-level decision-making</x:v>
      </x:c>
      <x:c r="D4" s="41" t="str">
        <x:v>SYNTHETIC DATA ONLY — not for clinical or patient-level decision-making</x:v>
      </x:c>
      <x:c r="E4" s="41" t="str">
        <x:v>SYNTHETIC DATA ONLY — not for clinical or patient-level decision-making</x:v>
      </x:c>
      <x:c r="F4" s="41" t="str">
        <x:v>SYNTHETIC DATA ONLY — not for clinical or patient-level decision-making</x:v>
      </x:c>
    </x:row>
    <x:row r="5" ht="15" hidden="0" customHeight="1">
      <x:c r="A5" s="40"/>
      <x:c r="B5" s="40"/>
      <x:c r="C5" s="40"/>
      <x:c r="D5" s="40"/>
      <x:c r="E5" s="40"/>
      <x:c r="F5" s="40"/>
    </x:row>
    <x:row r="6" ht="15" hidden="0" customHeight="1">
      <x:c r="A6" s="42" t="str">
        <x:v>Business Question</x:v>
      </x:c>
      <x:c r="B6" s="42" t="str">
        <x:v>Business Question</x:v>
      </x:c>
      <x:c r="C6" s="42" t="str">
        <x:v>Business Question</x:v>
      </x:c>
      <x:c r="D6" s="42" t="str">
        <x:v>Business Question</x:v>
      </x:c>
      <x:c r="E6" s="42" t="str">
        <x:v>Business Question</x:v>
      </x:c>
      <x:c r="F6" s="42" t="str">
        <x:v>Business Question</x:v>
      </x:c>
    </x:row>
    <x:row r="7">
      <x:c r="A7" s="43" t="str">
        <x:v>Where should Kowhai Health Network focus operational improvement to reduce referral delays, appointment inefficiency and emergency-department flow pressure?</x:v>
      </x:c>
      <x:c r="B7" s="43" t="str">
        <x:v>Where should Kowhai Health Network focus operational improvement to reduce referral delays, appointment inefficiency and emergency-department flow pressure?</x:v>
      </x:c>
      <x:c r="C7" s="43" t="str">
        <x:v>Where should Kowhai Health Network focus operational improvement to reduce referral delays, appointment inefficiency and emergency-department flow pressure?</x:v>
      </x:c>
      <x:c r="D7" s="43" t="str">
        <x:v>Where should Kowhai Health Network focus operational improvement to reduce referral delays, appointment inefficiency and emergency-department flow pressure?</x:v>
      </x:c>
      <x:c r="E7" s="43" t="str">
        <x:v>Where should Kowhai Health Network focus operational improvement to reduce referral delays, appointment inefficiency and emergency-department flow pressure?</x:v>
      </x:c>
      <x:c r="F7" s="43" t="str">
        <x:v>Where should Kowhai Health Network focus operational improvement to reduce referral delays, appointment inefficiency and emergency-department flow pressure?</x:v>
      </x:c>
    </x:row>
    <x:row r="8">
      <x:c r="A8" s="43" t="str">
        <x:v>Where should Kowhai Health Network focus operational improvement to reduce referral delays, appointment inefficiency and emergency-department flow pressure?</x:v>
      </x:c>
      <x:c r="B8" s="43" t="str">
        <x:v>Where should Kowhai Health Network focus operational improvement to reduce referral delays, appointment inefficiency and emergency-department flow pressure?</x:v>
      </x:c>
      <x:c r="C8" s="43" t="str">
        <x:v>Where should Kowhai Health Network focus operational improvement to reduce referral delays, appointment inefficiency and emergency-department flow pressure?</x:v>
      </x:c>
      <x:c r="D8" s="43" t="str">
        <x:v>Where should Kowhai Health Network focus operational improvement to reduce referral delays, appointment inefficiency and emergency-department flow pressure?</x:v>
      </x:c>
      <x:c r="E8" s="43" t="str">
        <x:v>Where should Kowhai Health Network focus operational improvement to reduce referral delays, appointment inefficiency and emergency-department flow pressure?</x:v>
      </x:c>
      <x:c r="F8" s="43" t="str">
        <x:v>Where should Kowhai Health Network focus operational improvement to reduce referral delays, appointment inefficiency and emergency-department flow pressure?</x:v>
      </x:c>
    </x:row>
    <x:row r="9" ht="15" hidden="0" customHeight="1">
      <x:c r="A9" s="40"/>
      <x:c r="B9" s="40"/>
      <x:c r="C9" s="40"/>
      <x:c r="D9" s="40"/>
      <x:c r="E9" s="40"/>
      <x:c r="F9" s="40"/>
    </x:row>
    <x:row r="10" ht="15" hidden="0" customHeight="1">
      <x:c r="A10" s="42" t="str">
        <x:v>Dataset Scope</x:v>
      </x:c>
      <x:c r="B10" s="42" t="str">
        <x:v>Dataset Scope</x:v>
      </x:c>
      <x:c r="C10" s="42" t="str">
        <x:v>Dataset Scope</x:v>
      </x:c>
      <x:c r="D10" s="42" t="str">
        <x:v>Dataset Scope</x:v>
      </x:c>
      <x:c r="E10" s="42" t="str">
        <x:v>Dataset Scope</x:v>
      </x:c>
      <x:c r="F10" s="42" t="str">
        <x:v>Dataset Scope</x:v>
      </x:c>
    </x:row>
    <x:row r="11" ht="26.399999618530273" hidden="0" customHeight="1">
      <x:c r="A11" s="44" t="str">
        <x:v>Facilities</x:v>
      </x:c>
      <x:c r="B11" s="45" t="n">
        <x:v>8</x:v>
      </x:c>
      <x:c r="C11" s="44" t="str">
        <x:v>Departments</x:v>
      </x:c>
      <x:c r="D11" s="45" t="n">
        <x:v>40</x:v>
      </x:c>
      <x:c r="E11" s="44" t="str">
        <x:v>Patients</x:v>
      </x:c>
      <x:c r="F11" s="45" t="n">
        <x:v>18000</x:v>
      </x:c>
    </x:row>
    <x:row r="12" ht="26.399999618530273" hidden="0" customHeight="1">
      <x:c r="A12" s="44" t="str">
        <x:v>Referrals</x:v>
      </x:c>
      <x:c r="B12" s="45" t="n">
        <x:v>32000</x:v>
      </x:c>
      <x:c r="C12" s="44" t="str">
        <x:v>Appointments</x:v>
      </x:c>
      <x:c r="D12" s="45" t="n">
        <x:v>65000</x:v>
      </x:c>
      <x:c r="E12" s="44" t="str">
        <x:v>ED Visits</x:v>
      </x:c>
      <x:c r="F12" s="45" t="n">
        <x:v>22000</x:v>
      </x:c>
    </x:row>
    <x:row r="13" ht="39.599998474121094" hidden="0" customHeight="1">
      <x:c r="A13" s="44" t="str">
        <x:v>Coverage Start</x:v>
      </x:c>
      <x:c r="B13" s="46" t="str">
        <x:v>2025-01-01</x:v>
      </x:c>
      <x:c r="C13" s="44" t="str">
        <x:v>Latest Complete Date</x:v>
      </x:c>
      <x:c r="D13" s="46" t="str">
        <x:v>2026-07-31</x:v>
      </x:c>
      <x:c r="E13" s="44" t="str">
        <x:v>Snapshot Date</x:v>
      </x:c>
      <x:c r="F13" s="46" t="str">
        <x:v>2026-08-01</x:v>
      </x:c>
    </x:row>
    <x:row r="14" ht="15" hidden="0" customHeight="1">
      <x:c r="A14" s="40"/>
      <x:c r="B14" s="40"/>
      <x:c r="C14" s="40"/>
      <x:c r="D14" s="40"/>
      <x:c r="E14" s="40"/>
      <x:c r="F14" s="40"/>
    </x:row>
    <x:row r="15" ht="15" hidden="0" customHeight="1">
      <x:c r="A15" s="42" t="str">
        <x:v>Recommended Workflow</x:v>
      </x:c>
      <x:c r="B15" s="42" t="str">
        <x:v>Recommended Workflow</x:v>
      </x:c>
      <x:c r="C15" s="42" t="str">
        <x:v>Recommended Workflow</x:v>
      </x:c>
      <x:c r="D15" s="42" t="str">
        <x:v>Recommended Workflow</x:v>
      </x:c>
      <x:c r="E15" s="42" t="str">
        <x:v>Recommended Workflow</x:v>
      </x:c>
      <x:c r="F15" s="42" t="str">
        <x:v>Recommended Workflow</x:v>
      </x:c>
    </x:row>
    <x:row r="16" ht="26.399999618530273" hidden="0" customHeight="1">
      <x:c r="A16" s="47" t="str">
        <x:v>Stage</x:v>
      </x:c>
      <x:c r="B16" s="47" t="str">
        <x:v>Action</x:v>
      </x:c>
      <x:c r="C16" s="47" t="str">
        <x:v>Main Skills</x:v>
      </x:c>
      <x:c r="D16" s="47" t="str">
        <x:v>Output</x:v>
      </x:c>
      <x:c r="E16" s="47" t="str">
        <x:v>Validation</x:v>
      </x:c>
      <x:c r="F16" s="47" t="str">
        <x:v>Interview Value</x:v>
      </x:c>
    </x:row>
    <x:row r="17" ht="79.19999694824219" hidden="0" customHeight="1">
      <x:c r="A17" s="48" t="n">
        <x:v>1</x:v>
      </x:c>
      <x:c r="B17" s="49" t="str">
        <x:v>Understand the business question and table grain</x:v>
      </x:c>
      <x:c r="C17" s="49" t="str">
        <x:v>Business framing</x:v>
      </x:c>
      <x:c r="D17" s="49" t="str">
        <x:v>Project brief</x:v>
      </x:c>
      <x:c r="E17" s="49" t="str">
        <x:v>Definitions agreed</x:v>
      </x:c>
      <x:c r="F17" s="49" t="str">
        <x:v>Explains why the work matters</x:v>
      </x:c>
    </x:row>
    <x:row r="18" ht="66" hidden="0" customHeight="1">
      <x:c r="A18" s="48" t="n">
        <x:v>2</x:v>
      </x:c>
      <x:c r="B18" s="49" t="str">
        <x:v>Load unchanged CSV files to raw schema</x:v>
      </x:c>
      <x:c r="C18" s="49" t="str">
        <x:v>PostgreSQL, COPY</x:v>
      </x:c>
      <x:c r="D18" s="49" t="str">
        <x:v>Raw tables</x:v>
      </x:c>
      <x:c r="E18" s="49" t="str">
        <x:v>Row counts match</x:v>
      </x:c>
      <x:c r="F18" s="49" t="str">
        <x:v>Shows reproducibility</x:v>
      </x:c>
    </x:row>
    <x:row r="19" ht="66" hidden="0" customHeight="1">
      <x:c r="A19" s="48" t="n">
        <x:v>3</x:v>
      </x:c>
      <x:c r="B19" s="49" t="str">
        <x:v>Profile quality issues before cleaning</x:v>
      </x:c>
      <x:c r="C19" s="49" t="str">
        <x:v>SQL profiling</x:v>
      </x:c>
      <x:c r="D19" s="49" t="str">
        <x:v>Issue log</x:v>
      </x:c>
      <x:c r="E19" s="49" t="str">
        <x:v>Counts by issue</x:v>
      </x:c>
      <x:c r="F19" s="49" t="str">
        <x:v>Shows analyst judgement</x:v>
      </x:c>
    </x:row>
    <x:row r="20" ht="52.79999923706055" hidden="0" customHeight="1">
      <x:c r="A20" s="48" t="n">
        <x:v>4</x:v>
      </x:c>
      <x:c r="B20" s="49" t="str">
        <x:v>Create typed clean tables</x:v>
      </x:c>
      <x:c r="C20" s="49" t="str">
        <x:v>CASE, text/date functions</x:v>
      </x:c>
      <x:c r="D20" s="49" t="str">
        <x:v>Clean schema</x:v>
      </x:c>
      <x:c r="E20" s="49" t="str">
        <x:v>Keys, ranges, timelines</x:v>
      </x:c>
      <x:c r="F20" s="49" t="str">
        <x:v>Shows reliable SQL</x:v>
      </x:c>
    </x:row>
    <x:row r="21" ht="52.79999923706055" hidden="0" customHeight="1">
      <x:c r="A21" s="48" t="n">
        <x:v>5</x:v>
      </x:c>
      <x:c r="B21" s="49" t="str">
        <x:v>Answer 12 business questions</x:v>
      </x:c>
      <x:c r="C21" s="49" t="str">
        <x:v>CTEs, FILTER, LAG, ranking</x:v>
      </x:c>
      <x:c r="D21" s="49" t="str">
        <x:v>Analysis queries</x:v>
      </x:c>
      <x:c r="E21" s="49" t="str">
        <x:v>Reconcile totals</x:v>
      </x:c>
      <x:c r="F21" s="49" t="str">
        <x:v>Shows practical SQL</x:v>
      </x:c>
    </x:row>
    <x:row r="22" ht="52.79999923706055" hidden="0" customHeight="1">
      <x:c r="A22" s="48" t="n">
        <x:v>6</x:v>
      </x:c>
      <x:c r="B22" s="49" t="str">
        <x:v>Create reusable analytics views</x:v>
      </x:c>
      <x:c r="C22" s="49" t="str">
        <x:v>Views, documentation</x:v>
      </x:c>
      <x:c r="D22" s="49" t="str">
        <x:v>BI-ready layer</x:v>
      </x:c>
      <x:c r="E22" s="49" t="str">
        <x:v>Stable grain</x:v>
      </x:c>
      <x:c r="F22" s="49" t="str">
        <x:v>Shows maintainability</x:v>
      </x:c>
    </x:row>
    <x:row r="23" ht="52.79999923706055" hidden="0" customHeight="1">
      <x:c r="A23" s="50" t="n">
        <x:v>7</x:v>
      </x:c>
      <x:c r="B23" s="51" t="str">
        <x:v>Build and test two Power BI pages</x:v>
      </x:c>
      <x:c r="C23" s="51" t="str">
        <x:v>Model, DAX, visuals</x:v>
      </x:c>
      <x:c r="D23" s="51" t="str">
        <x:v>Dashboard</x:v>
      </x:c>
      <x:c r="E23" s="51" t="str">
        <x:v>SQL-to-BI checks</x:v>
      </x:c>
      <x:c r="F23" s="51" t="str">
        <x:v>Shows communication</x:v>
      </x:c>
    </x:row>
    <x:row r="24" ht="15" hidden="0" customHeight="1">
      <x:c r="A24" s="40"/>
      <x:c r="B24" s="40"/>
      <x:c r="C24" s="40"/>
      <x:c r="D24" s="40"/>
      <x:c r="E24" s="40"/>
      <x:c r="F24" s="40"/>
    </x:row>
    <x:row r="25" ht="15" hidden="0" customHeight="1">
      <x:c r="A25" s="42" t="str">
        <x:v>Scope Guardrails</x:v>
      </x:c>
      <x:c r="B25" s="42" t="str">
        <x:v>Scope Guardrails</x:v>
      </x:c>
      <x:c r="C25" s="42" t="str">
        <x:v>Scope Guardrails</x:v>
      </x:c>
      <x:c r="D25" s="42" t="str">
        <x:v>Scope Guardrails</x:v>
      </x:c>
      <x:c r="E25" s="42" t="str">
        <x:v>Scope Guardrails</x:v>
      </x:c>
      <x:c r="F25" s="42" t="str">
        <x:v>Scope Guardrails</x:v>
      </x:c>
    </x:row>
    <x:row r="26" ht="39.599998474121094" hidden="0" customHeight="1">
      <x:c r="A26" s="52" t="str">
        <x:v>Keep</x:v>
      </x:c>
      <x:c r="B26" s="53" t="str">
        <x:v>PostgreSQL + SQL</x:v>
      </x:c>
      <x:c r="C26" s="53" t="str">
        <x:v>Power BI + DAX</x:v>
      </x:c>
      <x:c r="D26" s="53" t="str">
        <x:v>Git/GitHub</x:v>
      </x:c>
      <x:c r="E26" s="53" t="str">
        <x:v>Two dashboard pages</x:v>
      </x:c>
      <x:c r="F26" s="53" t="str">
        <x:v>A clear business story</x:v>
      </x:c>
    </x:row>
    <x:row r="27" ht="39.599998474121094" hidden="0" customHeight="1">
      <x:c r="A27" s="52" t="str">
        <x:v>Avoid in v1</x:v>
      </x:c>
      <x:c r="B27" s="53" t="str">
        <x:v>AWS</x:v>
      </x:c>
      <x:c r="C27" s="53" t="str">
        <x:v>Machine learning</x:v>
      </x:c>
      <x:c r="D27" s="53" t="str">
        <x:v>Spark</x:v>
      </x:c>
      <x:c r="E27" s="53" t="str">
        <x:v>APIs/web app</x:v>
      </x:c>
      <x:c r="F27" s="53" t="str">
        <x:v>Unnecessary clinical detail</x:v>
      </x:c>
    </x:row>
    <x:row r="28" ht="39.599998474121094" hidden="0" customHeight="1">
      <x:c r="A28" s="52" t="str">
        <x:v>Core KPIs</x:v>
      </x:c>
      <x:c r="B28" s="53" t="str">
        <x:v>Backlog</x:v>
      </x:c>
      <x:c r="C28" s="53" t="str">
        <x:v>Over-60-day backlog</x:v>
      </x:c>
      <x:c r="D28" s="53" t="str">
        <x:v>No-show rate</x:v>
      </x:c>
      <x:c r="E28" s="53" t="str">
        <x:v>Seen within target</x:v>
      </x:c>
      <x:c r="F28" s="53" t="str">
        <x:v>ED length of stay / revisit</x:v>
      </x:c>
    </x:row>
    <x:row r="29" ht="39.599998474121094" hidden="0" customHeight="1">
      <x:c r="A29" s="52" t="str">
        <x:v>Portfolio proof</x:v>
      </x:c>
      <x:c r="B29" s="53" t="str">
        <x:v>README</x:v>
      </x:c>
      <x:c r="C29" s="53" t="str">
        <x:v>SQL files</x:v>
      </x:c>
      <x:c r="D29" s="53" t="str">
        <x:v>Quality log</x:v>
      </x:c>
      <x:c r="E29" s="53" t="str">
        <x:v>Dashboard screenshots</x:v>
      </x:c>
      <x:c r="F29" s="53" t="str">
        <x:v>Findings + limitations</x:v>
      </x:c>
    </x:row>
    <x:row r="30" ht="52.79999923706055" hidden="0" customHeight="1">
      <x:c r="A30" s="52" t="str">
        <x:v>Interview rule</x:v>
      </x:c>
      <x:c r="B30" s="53" t="str">
        <x:v>Explain every metric</x:v>
      </x:c>
      <x:c r="C30" s="53" t="str">
        <x:v>Explain each cleaning rule</x:v>
      </x:c>
      <x:c r="D30" s="53" t="str">
        <x:v>Show validation</x:v>
      </x:c>
      <x:c r="E30" s="53" t="str">
        <x:v>Label hypotheses</x:v>
      </x:c>
      <x:c r="F30" s="53" t="str">
        <x:v>Never imply real patient data</x:v>
      </x:c>
    </x:row>
  </x:sheetData>
  <x:mergeCells>
    <x:mergeCell ref="A1:F2"/>
    <x:mergeCell ref="A4:F4"/>
    <x:mergeCell ref="A6:F6"/>
    <x:mergeCell ref="A7:F8"/>
    <x:mergeCell ref="A10:F10"/>
    <x:mergeCell ref="A15:F15"/>
    <x:mergeCell ref="A25:F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7" hidden="0" customWidth="1"/>
    <x:col min="3" max="3" width="34" hidden="0" customWidth="1"/>
    <x:col min="4" max="4" width="15" hidden="0" customWidth="1"/>
    <x:col min="5" max="5" width="15" hidden="0" customWidth="1"/>
    <x:col min="6" max="6" width="34" hidden="0" customWidth="1"/>
    <x:col min="7" max="7" width="27" hidden="0" customWidth="1"/>
  </x:cols>
  <x:sheetData>
    <x:row r="1" ht="30" customHeight="1">
      <x:c r="A1" s="39" t="str">
        <x:v>Data Dictionary</x:v>
      </x:c>
      <x:c r="B1" s="39" t="str">
        <x:v>Data Dictionary</x:v>
      </x:c>
      <x:c r="C1" s="39" t="str">
        <x:v>Data Dictionary</x:v>
      </x:c>
      <x:c r="D1" s="39" t="str">
        <x:v>Data Dictionary</x:v>
      </x:c>
      <x:c r="E1" s="39" t="str">
        <x:v>Data Dictionary</x:v>
      </x:c>
      <x:c r="F1" s="39" t="str">
        <x:v>Data Dictionary</x:v>
      </x:c>
      <x:c r="G1" s="39" t="str">
        <x:v>Data Dictionary</x:v>
      </x:c>
    </x:row>
    <x:row r="2" ht="30" customHeight="1">
      <x:c r="A2" s="39" t="str">
        <x:v>Data Dictionary</x:v>
      </x:c>
      <x:c r="B2" s="39" t="str">
        <x:v>Data Dictionary</x:v>
      </x:c>
      <x:c r="C2" s="39" t="str">
        <x:v>Data Dictionary</x:v>
      </x:c>
      <x:c r="D2" s="39" t="str">
        <x:v>Data Dictionary</x:v>
      </x:c>
      <x:c r="E2" s="39" t="str">
        <x:v>Data Dictionary</x:v>
      </x:c>
      <x:c r="F2" s="39" t="str">
        <x:v>Data Dictionary</x:v>
      </x:c>
      <x:c r="G2" s="39" t="str">
        <x:v>Data Dictionary</x:v>
      </x:c>
    </x:row>
    <x:row r="3">
      <x:c r="A3" s="40"/>
      <x:c r="B3" s="40"/>
      <x:c r="C3" s="40"/>
      <x:c r="D3" s="40"/>
      <x:c r="E3" s="40"/>
      <x:c r="F3" s="40"/>
      <x:c r="G3" s="40"/>
    </x:row>
    <x:row r="4" ht="15" hidden="0" customHeight="1">
      <x:c r="A4" s="47" t="str">
        <x:v>Table</x:v>
      </x:c>
      <x:c r="B4" s="47" t="str">
        <x:v>Column</x:v>
      </x:c>
      <x:c r="C4" s="47" t="str">
        <x:v>Meaning</x:v>
      </x:c>
      <x:c r="D4" s="47" t="str">
        <x:v>Clean Type</x:v>
      </x:c>
      <x:c r="E4" s="47" t="str">
        <x:v>Required?</x:v>
      </x:c>
      <x:c r="F4" s="47" t="str">
        <x:v>Valid Values / Rule</x:v>
      </x:c>
      <x:c r="G4" s="47" t="str">
        <x:v>Notes</x:v>
      </x:c>
    </x:row>
    <x:row r="5" ht="15" hidden="0" customHeight="1">
      <x:c r="A5" s="49" t="str">
        <x:v>facilities</x:v>
      </x:c>
      <x:c r="B5" s="49" t="str">
        <x:v>facility_id</x:v>
      </x:c>
      <x:c r="C5" s="49" t="str">
        <x:v>Synthetic facility key</x:v>
      </x:c>
      <x:c r="D5" s="49" t="str">
        <x:v>varchar(10)</x:v>
      </x:c>
      <x:c r="E5" s="49" t="str">
        <x:v>Yes</x:v>
      </x:c>
      <x:c r="F5" s="49" t="str">
        <x:v>Unique; F001 format</x:v>
      </x:c>
      <x:c r="G5" s="49" t="str">
        <x:v>Dimension key</x:v>
      </x:c>
    </x:row>
    <x:row r="6" ht="15" hidden="0" customHeight="1">
      <x:c r="A6" s="49" t="str">
        <x:v>facilities</x:v>
      </x:c>
      <x:c r="B6" s="49" t="str">
        <x:v>facility_name</x:v>
      </x:c>
      <x:c r="C6" s="49" t="str">
        <x:v>Fictional facility name</x:v>
      </x:c>
      <x:c r="D6" s="49" t="str">
        <x:v>varchar(100)</x:v>
      </x:c>
      <x:c r="E6" s="49" t="str">
        <x:v>Yes</x:v>
      </x:c>
      <x:c r="F6" s="49" t="str">
        <x:v>Nonblank</x:v>
      </x:c>
      <x:c r="G6" s="49" t="str">
        <x:v>No real organisation</x:v>
      </x:c>
    </x:row>
    <x:row r="7" ht="15" hidden="0" customHeight="1">
      <x:c r="A7" s="49" t="str">
        <x:v>facilities</x:v>
      </x:c>
      <x:c r="B7" s="49" t="str">
        <x:v>hospital_region</x:v>
      </x:c>
      <x:c r="C7" s="49" t="str">
        <x:v>Operating region</x:v>
      </x:c>
      <x:c r="D7" s="49" t="str">
        <x:v>varchar(30)</x:v>
      </x:c>
      <x:c r="E7" s="49" t="str">
        <x:v>Yes</x:v>
      </x:c>
      <x:c r="F7" s="49" t="str">
        <x:v>Northern, Midland, Central, Southern</x:v>
      </x:c>
      <x:c r="G7" s="49" t="str">
        <x:v>Standardise format</x:v>
      </x:c>
    </x:row>
    <x:row r="8" ht="15" hidden="0" customHeight="1">
      <x:c r="A8" s="49" t="str">
        <x:v>facilities</x:v>
      </x:c>
      <x:c r="B8" s="49" t="str">
        <x:v>city</x:v>
      </x:c>
      <x:c r="C8" s="49" t="str">
        <x:v>Facility city</x:v>
      </x:c>
      <x:c r="D8" s="49" t="str">
        <x:v>varchar(60)</x:v>
      </x:c>
      <x:c r="E8" s="49" t="str">
        <x:v>No</x:v>
      </x:c>
      <x:c r="F8" s="49" t="str">
        <x:v>Text</x:v>
      </x:c>
      <x:c r="G8" s="49" t="str"/>
    </x:row>
    <x:row r="9" ht="15" hidden="0" customHeight="1">
      <x:c r="A9" s="49" t="str">
        <x:v>facilities</x:v>
      </x:c>
      <x:c r="B9" s="49" t="str">
        <x:v>facility_type</x:v>
      </x:c>
      <x:c r="C9" s="49" t="str">
        <x:v>Facility category</x:v>
      </x:c>
      <x:c r="D9" s="49" t="str">
        <x:v>varchar(50)</x:v>
      </x:c>
      <x:c r="E9" s="49" t="str">
        <x:v>No</x:v>
      </x:c>
      <x:c r="F9" s="49" t="str">
        <x:v>Tertiary, Regional, Community</x:v>
      </x:c>
      <x:c r="G9" s="49" t="str"/>
    </x:row>
    <x:row r="10" ht="15" hidden="0" customHeight="1">
      <x:c r="A10" s="49" t="str">
        <x:v>facilities</x:v>
      </x:c>
      <x:c r="B10" s="49" t="str">
        <x:v>bed_capacity</x:v>
      </x:c>
      <x:c r="C10" s="49" t="str">
        <x:v>Illustrative bed capacity</x:v>
      </x:c>
      <x:c r="D10" s="49" t="str">
        <x:v>integer</x:v>
      </x:c>
      <x:c r="E10" s="49" t="str">
        <x:v>No</x:v>
      </x:c>
      <x:c r="F10" s="49" t="str">
        <x:v>&gt; 0</x:v>
      </x:c>
      <x:c r="G10" s="49" t="str">
        <x:v>Not an official figure</x:v>
      </x:c>
    </x:row>
    <x:row r="11" ht="15" hidden="0" customHeight="1">
      <x:c r="A11" s="49" t="str">
        <x:v>departments</x:v>
      </x:c>
      <x:c r="B11" s="49" t="str">
        <x:v>department_id</x:v>
      </x:c>
      <x:c r="C11" s="49" t="str">
        <x:v>Synthetic department key</x:v>
      </x:c>
      <x:c r="D11" s="49" t="str">
        <x:v>varchar(10)</x:v>
      </x:c>
      <x:c r="E11" s="49" t="str">
        <x:v>Yes</x:v>
      </x:c>
      <x:c r="F11" s="49" t="str">
        <x:v>Unique; D001 format</x:v>
      </x:c>
      <x:c r="G11" s="49" t="str">
        <x:v>Dimension key</x:v>
      </x:c>
    </x:row>
    <x:row r="12" ht="15" hidden="0" customHeight="1">
      <x:c r="A12" s="49" t="str">
        <x:v>departments</x:v>
      </x:c>
      <x:c r="B12" s="49" t="str">
        <x:v>facility_id</x:v>
      </x:c>
      <x:c r="C12" s="49" t="str">
        <x:v>Parent facility key</x:v>
      </x:c>
      <x:c r="D12" s="49" t="str">
        <x:v>varchar(10)</x:v>
      </x:c>
      <x:c r="E12" s="49" t="str">
        <x:v>Yes</x:v>
      </x:c>
      <x:c r="F12" s="49" t="str">
        <x:v>Must exist in facilities</x:v>
      </x:c>
      <x:c r="G12" s="49" t="str">
        <x:v>Foreign key</x:v>
      </x:c>
    </x:row>
    <x:row r="13" ht="15" hidden="0" customHeight="1">
      <x:c r="A13" s="49" t="str">
        <x:v>departments</x:v>
      </x:c>
      <x:c r="B13" s="49" t="str">
        <x:v>department_name</x:v>
      </x:c>
      <x:c r="C13" s="49" t="str">
        <x:v>Specialty department</x:v>
      </x:c>
      <x:c r="D13" s="49" t="str">
        <x:v>varchar(80)</x:v>
      </x:c>
      <x:c r="E13" s="49" t="str">
        <x:v>Yes</x:v>
      </x:c>
      <x:c r="F13" s="49" t="str">
        <x:v>Standardised category</x:v>
      </x:c>
      <x:c r="G13" s="49" t="str"/>
    </x:row>
    <x:row r="14" ht="15" hidden="0" customHeight="1">
      <x:c r="A14" s="49" t="str">
        <x:v>departments</x:v>
      </x:c>
      <x:c r="B14" s="49" t="str">
        <x:v>specialty_group</x:v>
      </x:c>
      <x:c r="C14" s="49" t="str">
        <x:v>Medical or surgical grouping</x:v>
      </x:c>
      <x:c r="D14" s="49" t="str">
        <x:v>varchar(30)</x:v>
      </x:c>
      <x:c r="E14" s="49" t="str">
        <x:v>No</x:v>
      </x:c>
      <x:c r="F14" s="49" t="str">
        <x:v>Medical, Surgical</x:v>
      </x:c>
      <x:c r="G14" s="49" t="str"/>
    </x:row>
    <x:row r="15" ht="15" hidden="0" customHeight="1">
      <x:c r="A15" s="49" t="str">
        <x:v>departments</x:v>
      </x:c>
      <x:c r="B15" s="49" t="str">
        <x:v>routine_target_days</x:v>
      </x:c>
      <x:c r="C15" s="49" t="str">
        <x:v>Illustrative routine referral target</x:v>
      </x:c>
      <x:c r="D15" s="49" t="str">
        <x:v>integer</x:v>
      </x:c>
      <x:c r="E15" s="49" t="str">
        <x:v>No</x:v>
      </x:c>
      <x:c r="F15" s="49" t="str">
        <x:v>&gt; 0 days</x:v>
      </x:c>
      <x:c r="G15" s="49" t="str">
        <x:v>Project-owned target</x:v>
      </x:c>
    </x:row>
    <x:row r="16" ht="15" hidden="0" customHeight="1">
      <x:c r="A16" s="49" t="str">
        <x:v>departments</x:v>
      </x:c>
      <x:c r="B16" s="49" t="str">
        <x:v>urgent_target_days</x:v>
      </x:c>
      <x:c r="C16" s="49" t="str">
        <x:v>Illustrative urgent referral target</x:v>
      </x:c>
      <x:c r="D16" s="49" t="str">
        <x:v>integer</x:v>
      </x:c>
      <x:c r="E16" s="49" t="str">
        <x:v>No</x:v>
      </x:c>
      <x:c r="F16" s="49" t="str">
        <x:v>&gt; 0 days</x:v>
      </x:c>
      <x:c r="G16" s="49" t="str">
        <x:v>Project-owned target</x:v>
      </x:c>
    </x:row>
    <x:row r="17" ht="15" hidden="0" customHeight="1">
      <x:c r="A17" s="49" t="str">
        <x:v>departments</x:v>
      </x:c>
      <x:c r="B17" s="49" t="str">
        <x:v>appointment_wait_target_mins</x:v>
      </x:c>
      <x:c r="C17" s="49" t="str">
        <x:v>Check-in-to-seen target</x:v>
      </x:c>
      <x:c r="D17" s="49" t="str">
        <x:v>integer</x:v>
      </x:c>
      <x:c r="E17" s="49" t="str">
        <x:v>No</x:v>
      </x:c>
      <x:c r="F17" s="49" t="str">
        <x:v>&gt; 0 minutes</x:v>
      </x:c>
      <x:c r="G17" s="49" t="str">
        <x:v>Project-owned target</x:v>
      </x:c>
    </x:row>
    <x:row r="18" ht="15" hidden="0" customHeight="1">
      <x:c r="A18" s="49" t="str">
        <x:v>patients</x:v>
      </x:c>
      <x:c r="B18" s="49" t="str">
        <x:v>patient_id</x:v>
      </x:c>
      <x:c r="C18" s="49" t="str">
        <x:v>Synthetic patient key; not an NHI</x:v>
      </x:c>
      <x:c r="D18" s="49" t="str">
        <x:v>varchar(12)</x:v>
      </x:c>
      <x:c r="E18" s="49" t="str">
        <x:v>Yes</x:v>
      </x:c>
      <x:c r="F18" s="49" t="str">
        <x:v>Unique; P000001 format</x:v>
      </x:c>
      <x:c r="G18" s="49" t="str">
        <x:v>No names included</x:v>
      </x:c>
    </x:row>
    <x:row r="19" ht="15" hidden="0" customHeight="1">
      <x:c r="A19" s="49" t="str">
        <x:v>patients</x:v>
      </x:c>
      <x:c r="B19" s="49" t="str">
        <x:v>date_of_birth</x:v>
      </x:c>
      <x:c r="C19" s="49" t="str">
        <x:v>Synthetic date of birth</x:v>
      </x:c>
      <x:c r="D19" s="49" t="str">
        <x:v>date</x:v>
      </x:c>
      <x:c r="E19" s="49" t="str">
        <x:v>No</x:v>
      </x:c>
      <x:c r="F19" s="49" t="str">
        <x:v>Not future; plausible age</x:v>
      </x:c>
      <x:c r="G19" s="49" t="str">
        <x:v>Quality check required</x:v>
      </x:c>
    </x:row>
    <x:row r="20" ht="15" hidden="0" customHeight="1">
      <x:c r="A20" s="49" t="str">
        <x:v>patients</x:v>
      </x:c>
      <x:c r="B20" s="49" t="str">
        <x:v>gender</x:v>
      </x:c>
      <x:c r="C20" s="49" t="str">
        <x:v>Synthetic gender category</x:v>
      </x:c>
      <x:c r="D20" s="49" t="str">
        <x:v>varchar(30)</x:v>
      </x:c>
      <x:c r="E20" s="49" t="str">
        <x:v>No</x:v>
      </x:c>
      <x:c r="F20" s="49" t="str">
        <x:v>Standardised category</x:v>
      </x:c>
      <x:c r="G20" s="49" t="str">
        <x:v>Can be Unknown</x:v>
      </x:c>
    </x:row>
    <x:row r="21" ht="15" hidden="0" customHeight="1">
      <x:c r="A21" s="49" t="str">
        <x:v>patients</x:v>
      </x:c>
      <x:c r="B21" s="49" t="str">
        <x:v>ethnicity</x:v>
      </x:c>
      <x:c r="C21" s="49" t="str">
        <x:v>Synthetic broad ethnicity category</x:v>
      </x:c>
      <x:c r="D21" s="49" t="str">
        <x:v>varchar(30)</x:v>
      </x:c>
      <x:c r="E21" s="49" t="str">
        <x:v>No</x:v>
      </x:c>
      <x:c r="F21" s="49" t="str">
        <x:v>Standardised category</x:v>
      </x:c>
      <x:c r="G21" s="49" t="str">
        <x:v>Can be Unknown</x:v>
      </x:c>
    </x:row>
    <x:row r="22" ht="15" hidden="0" customHeight="1">
      <x:c r="A22" s="49" t="str">
        <x:v>patients</x:v>
      </x:c>
      <x:c r="B22" s="49" t="str">
        <x:v>city</x:v>
      </x:c>
      <x:c r="C22" s="49" t="str">
        <x:v>Patient city</x:v>
      </x:c>
      <x:c r="D22" s="49" t="str">
        <x:v>varchar(60)</x:v>
      </x:c>
      <x:c r="E22" s="49" t="str">
        <x:v>No</x:v>
      </x:c>
      <x:c r="F22" s="49" t="str">
        <x:v>Standardised text</x:v>
      </x:c>
      <x:c r="G22" s="49" t="str"/>
    </x:row>
    <x:row r="23" ht="15" hidden="0" customHeight="1">
      <x:c r="A23" s="49" t="str">
        <x:v>patients</x:v>
      </x:c>
      <x:c r="B23" s="49" t="str">
        <x:v>deprivation_quintile</x:v>
      </x:c>
      <x:c r="C23" s="49" t="str">
        <x:v>Illustrative deprivation quintile</x:v>
      </x:c>
      <x:c r="D23" s="49" t="str">
        <x:v>smallint</x:v>
      </x:c>
      <x:c r="E23" s="49" t="str">
        <x:v>No</x:v>
      </x:c>
      <x:c r="F23" s="49" t="str">
        <x:v>1 to 5</x:v>
      </x:c>
      <x:c r="G23" s="49" t="str">
        <x:v>Not an official patient measure</x:v>
      </x:c>
    </x:row>
    <x:row r="24" ht="15" hidden="0" customHeight="1">
      <x:c r="A24" s="49" t="str">
        <x:v>patients</x:v>
      </x:c>
      <x:c r="B24" s="49" t="str">
        <x:v>enrolment_date</x:v>
      </x:c>
      <x:c r="C24" s="49" t="str">
        <x:v>Network registration date</x:v>
      </x:c>
      <x:c r="D24" s="49" t="str">
        <x:v>date</x:v>
      </x:c>
      <x:c r="E24" s="49" t="str">
        <x:v>No</x:v>
      </x:c>
      <x:c r="F24" s="49" t="str">
        <x:v>Valid date</x:v>
      </x:c>
      <x:c r="G24" s="49" t="str"/>
    </x:row>
    <x:row r="25" ht="15" hidden="0" customHeight="1">
      <x:c r="A25" s="49" t="str">
        <x:v>referrals</x:v>
      </x:c>
      <x:c r="B25" s="49" t="str">
        <x:v>referral_id</x:v>
      </x:c>
      <x:c r="C25" s="49" t="str">
        <x:v>Referral key</x:v>
      </x:c>
      <x:c r="D25" s="49" t="str">
        <x:v>varchar(12)</x:v>
      </x:c>
      <x:c r="E25" s="49" t="str">
        <x:v>Yes</x:v>
      </x:c>
      <x:c r="F25" s="49" t="str">
        <x:v>Unique; R0000001 format</x:v>
      </x:c>
      <x:c r="G25" s="49" t="str">
        <x:v>Fact key</x:v>
      </x:c>
    </x:row>
    <x:row r="26" ht="15" hidden="0" customHeight="1">
      <x:c r="A26" s="49" t="str">
        <x:v>referrals</x:v>
      </x:c>
      <x:c r="B26" s="49" t="str">
        <x:v>patient_id</x:v>
      </x:c>
      <x:c r="C26" s="49" t="str">
        <x:v>Patient key</x:v>
      </x:c>
      <x:c r="D26" s="49" t="str">
        <x:v>varchar(12)</x:v>
      </x:c>
      <x:c r="E26" s="49" t="str">
        <x:v>Yes</x:v>
      </x:c>
      <x:c r="F26" s="49" t="str">
        <x:v>Must exist in patients</x:v>
      </x:c>
      <x:c r="G26" s="49" t="str">
        <x:v>Foreign key</x:v>
      </x:c>
    </x:row>
    <x:row r="27" ht="15" hidden="0" customHeight="1">
      <x:c r="A27" s="49" t="str">
        <x:v>referrals</x:v>
      </x:c>
      <x:c r="B27" s="49" t="str">
        <x:v>department_id</x:v>
      </x:c>
      <x:c r="C27" s="49" t="str">
        <x:v>Destination department</x:v>
      </x:c>
      <x:c r="D27" s="49" t="str">
        <x:v>varchar(10)</x:v>
      </x:c>
      <x:c r="E27" s="49" t="str">
        <x:v>Yes</x:v>
      </x:c>
      <x:c r="F27" s="49" t="str">
        <x:v>Must exist in departments</x:v>
      </x:c>
      <x:c r="G27" s="49" t="str">
        <x:v>Foreign key</x:v>
      </x:c>
    </x:row>
    <x:row r="28" ht="15" hidden="0" customHeight="1">
      <x:c r="A28" s="49" t="str">
        <x:v>referrals</x:v>
      </x:c>
      <x:c r="B28" s="49" t="str">
        <x:v>referral_date</x:v>
      </x:c>
      <x:c r="C28" s="49" t="str">
        <x:v>Date referral received</x:v>
      </x:c>
      <x:c r="D28" s="49" t="str">
        <x:v>date</x:v>
      </x:c>
      <x:c r="E28" s="49" t="str">
        <x:v>Yes</x:v>
      </x:c>
      <x:c r="F28" s="49" t="str">
        <x:v>2025-01-01 to 2026-07-31</x:v>
      </x:c>
      <x:c r="G28" s="49" t="str">
        <x:v>Snapshot anchor</x:v>
      </x:c>
    </x:row>
    <x:row r="29" ht="15" hidden="0" customHeight="1">
      <x:c r="A29" s="49" t="str">
        <x:v>referrals</x:v>
      </x:c>
      <x:c r="B29" s="49" t="str">
        <x:v>urgency</x:v>
      </x:c>
      <x:c r="C29" s="49" t="str">
        <x:v>Referral urgency</x:v>
      </x:c>
      <x:c r="D29" s="49" t="str">
        <x:v>varchar(20)</x:v>
      </x:c>
      <x:c r="E29" s="49" t="str">
        <x:v>No</x:v>
      </x:c>
      <x:c r="F29" s="49" t="str">
        <x:v>Routine, Semi-Urgent, Urgent</x:v>
      </x:c>
      <x:c r="G29" s="49" t="str">
        <x:v>May be missing in raw</x:v>
      </x:c>
    </x:row>
    <x:row r="30" ht="26.399999618530273" hidden="0" customHeight="1">
      <x:c r="A30" s="49" t="str">
        <x:v>referrals</x:v>
      </x:c>
      <x:c r="B30" s="49" t="str">
        <x:v>referral_status</x:v>
      </x:c>
      <x:c r="C30" s="49" t="str">
        <x:v>Referral pathway status</x:v>
      </x:c>
      <x:c r="D30" s="49" t="str">
        <x:v>varchar(20)</x:v>
      </x:c>
      <x:c r="E30" s="49" t="str">
        <x:v>Yes</x:v>
      </x:c>
      <x:c r="F30" s="49" t="str">
        <x:v>Open, Waiting, Booked, Completed, Cancelled, Declined</x:v>
      </x:c>
      <x:c r="G30" s="49" t="str">
        <x:v>Backlog definition uses first three</x:v>
      </x:c>
    </x:row>
    <x:row r="31" ht="15" hidden="0" customHeight="1">
      <x:c r="A31" s="49" t="str">
        <x:v>referrals</x:v>
      </x:c>
      <x:c r="B31" s="49" t="str">
        <x:v>first_appointment_date</x:v>
      </x:c>
      <x:c r="C31" s="49" t="str">
        <x:v>First appointment date</x:v>
      </x:c>
      <x:c r="D31" s="49" t="str">
        <x:v>date</x:v>
      </x:c>
      <x:c r="E31" s="49" t="str">
        <x:v>No</x:v>
      </x:c>
      <x:c r="F31" s="49" t="str">
        <x:v>&gt;= referral_date</x:v>
      </x:c>
      <x:c r="G31" s="49" t="str">
        <x:v>May be future for Booked</x:v>
      </x:c>
    </x:row>
    <x:row r="32" ht="15" hidden="0" customHeight="1">
      <x:c r="A32" s="49" t="str">
        <x:v>referrals</x:v>
      </x:c>
      <x:c r="B32" s="49" t="str">
        <x:v>closed_date</x:v>
      </x:c>
      <x:c r="C32" s="49" t="str">
        <x:v>Pathway closure date</x:v>
      </x:c>
      <x:c r="D32" s="49" t="str">
        <x:v>date</x:v>
      </x:c>
      <x:c r="E32" s="49" t="str">
        <x:v>No</x:v>
      </x:c>
      <x:c r="F32" s="49" t="str">
        <x:v>&gt;= referral_date</x:v>
      </x:c>
      <x:c r="G32" s="49" t="str"/>
    </x:row>
    <x:row r="33" ht="15" hidden="0" customHeight="1">
      <x:c r="A33" s="49" t="str">
        <x:v>referrals</x:v>
      </x:c>
      <x:c r="B33" s="49" t="str">
        <x:v>referral_source</x:v>
      </x:c>
      <x:c r="C33" s="49" t="str">
        <x:v>Originating service</x:v>
      </x:c>
      <x:c r="D33" s="49" t="str">
        <x:v>varchar(40)</x:v>
      </x:c>
      <x:c r="E33" s="49" t="str">
        <x:v>No</x:v>
      </x:c>
      <x:c r="F33" s="49" t="str">
        <x:v>Standardised category</x:v>
      </x:c>
      <x:c r="G33" s="49" t="str"/>
    </x:row>
    <x:row r="34" ht="15" hidden="0" customHeight="1">
      <x:c r="A34" s="49" t="str">
        <x:v>referrals</x:v>
      </x:c>
      <x:c r="B34" s="49" t="str">
        <x:v>priority_score</x:v>
      </x:c>
      <x:c r="C34" s="49" t="str">
        <x:v>Illustrative priority</x:v>
      </x:c>
      <x:c r="D34" s="49" t="str">
        <x:v>smallint</x:v>
      </x:c>
      <x:c r="E34" s="49" t="str">
        <x:v>No</x:v>
      </x:c>
      <x:c r="F34" s="49" t="str">
        <x:v>1 to 5</x:v>
      </x:c>
      <x:c r="G34" s="49" t="str">
        <x:v>Not a clinical score</x:v>
      </x:c>
    </x:row>
    <x:row r="35" ht="15" hidden="0" customHeight="1">
      <x:c r="A35" s="49" t="str">
        <x:v>appointments</x:v>
      </x:c>
      <x:c r="B35" s="49" t="str">
        <x:v>appointment_id</x:v>
      </x:c>
      <x:c r="C35" s="49" t="str">
        <x:v>Appointment key</x:v>
      </x:c>
      <x:c r="D35" s="49" t="str">
        <x:v>varchar(12)</x:v>
      </x:c>
      <x:c r="E35" s="49" t="str">
        <x:v>Yes</x:v>
      </x:c>
      <x:c r="F35" s="49" t="str">
        <x:v>Unique; A0000001 format</x:v>
      </x:c>
      <x:c r="G35" s="49" t="str">
        <x:v>Fact key</x:v>
      </x:c>
    </x:row>
    <x:row r="36" ht="15" hidden="0" customHeight="1">
      <x:c r="A36" s="49" t="str">
        <x:v>appointments</x:v>
      </x:c>
      <x:c r="B36" s="49" t="str">
        <x:v>patient_id</x:v>
      </x:c>
      <x:c r="C36" s="49" t="str">
        <x:v>Patient key</x:v>
      </x:c>
      <x:c r="D36" s="49" t="str">
        <x:v>varchar(12)</x:v>
      </x:c>
      <x:c r="E36" s="49" t="str">
        <x:v>Yes</x:v>
      </x:c>
      <x:c r="F36" s="49" t="str">
        <x:v>Must exist in patients</x:v>
      </x:c>
      <x:c r="G36" s="49" t="str">
        <x:v>Foreign key</x:v>
      </x:c>
    </x:row>
    <x:row r="37" ht="15" hidden="0" customHeight="1">
      <x:c r="A37" s="49" t="str">
        <x:v>appointments</x:v>
      </x:c>
      <x:c r="B37" s="49" t="str">
        <x:v>department_id</x:v>
      </x:c>
      <x:c r="C37" s="49" t="str">
        <x:v>Department key</x:v>
      </x:c>
      <x:c r="D37" s="49" t="str">
        <x:v>varchar(10)</x:v>
      </x:c>
      <x:c r="E37" s="49" t="str">
        <x:v>Yes</x:v>
      </x:c>
      <x:c r="F37" s="49" t="str">
        <x:v>Must exist in departments</x:v>
      </x:c>
      <x:c r="G37" s="49" t="str">
        <x:v>Foreign key</x:v>
      </x:c>
    </x:row>
    <x:row r="38" ht="15" hidden="0" customHeight="1">
      <x:c r="A38" s="49" t="str">
        <x:v>appointments</x:v>
      </x:c>
      <x:c r="B38" s="49" t="str">
        <x:v>referral_id</x:v>
      </x:c>
      <x:c r="C38" s="49" t="str">
        <x:v>Optional originating referral</x:v>
      </x:c>
      <x:c r="D38" s="49" t="str">
        <x:v>varchar(12)</x:v>
      </x:c>
      <x:c r="E38" s="49" t="str">
        <x:v>No</x:v>
      </x:c>
      <x:c r="F38" s="49" t="str">
        <x:v>Must exist when present</x:v>
      </x:c>
      <x:c r="G38" s="49" t="str">
        <x:v>Nullable foreign key</x:v>
      </x:c>
    </x:row>
    <x:row r="39" ht="15" hidden="0" customHeight="1">
      <x:c r="A39" s="49" t="str">
        <x:v>appointments</x:v>
      </x:c>
      <x:c r="B39" s="49" t="str">
        <x:v>scheduled_datetime</x:v>
      </x:c>
      <x:c r="C39" s="49" t="str">
        <x:v>Planned start</x:v>
      </x:c>
      <x:c r="D39" s="49" t="str">
        <x:v>timestamp</x:v>
      </x:c>
      <x:c r="E39" s="49" t="str">
        <x:v>Yes</x:v>
      </x:c>
      <x:c r="F39" s="49" t="str">
        <x:v>Valid timestamp</x:v>
      </x:c>
      <x:c r="G39" s="49" t="str">
        <x:v>Main appointment date</x:v>
      </x:c>
    </x:row>
    <x:row r="40" ht="15" hidden="0" customHeight="1">
      <x:c r="A40" s="49" t="str">
        <x:v>appointments</x:v>
      </x:c>
      <x:c r="B40" s="49" t="str">
        <x:v>check_in_time</x:v>
      </x:c>
      <x:c r="C40" s="49" t="str">
        <x:v>Patient check-in</x:v>
      </x:c>
      <x:c r="D40" s="49" t="str">
        <x:v>timestamp</x:v>
      </x:c>
      <x:c r="E40" s="49" t="str">
        <x:v>No</x:v>
      </x:c>
      <x:c r="F40" s="49" t="str">
        <x:v>Valid for attended events</x:v>
      </x:c>
      <x:c r="G40" s="49" t="str"/>
    </x:row>
    <x:row r="41" ht="15" hidden="0" customHeight="1">
      <x:c r="A41" s="49" t="str">
        <x:v>appointments</x:v>
      </x:c>
      <x:c r="B41" s="49" t="str">
        <x:v>seen_time</x:v>
      </x:c>
      <x:c r="C41" s="49" t="str">
        <x:v>First seen by clinician</x:v>
      </x:c>
      <x:c r="D41" s="49" t="str">
        <x:v>timestamp</x:v>
      </x:c>
      <x:c r="E41" s="49" t="str">
        <x:v>No</x:v>
      </x:c>
      <x:c r="F41" s="49" t="str">
        <x:v>&gt;= check_in_time</x:v>
      </x:c>
      <x:c r="G41" s="49" t="str">
        <x:v>Timeliness metric</x:v>
      </x:c>
    </x:row>
    <x:row r="42" ht="26.399999618530273" hidden="0" customHeight="1">
      <x:c r="A42" s="49" t="str">
        <x:v>appointments</x:v>
      </x:c>
      <x:c r="B42" s="49" t="str">
        <x:v>appointment_status</x:v>
      </x:c>
      <x:c r="C42" s="49" t="str">
        <x:v>Appointment outcome</x:v>
      </x:c>
      <x:c r="D42" s="49" t="str">
        <x:v>varchar(25)</x:v>
      </x:c>
      <x:c r="E42" s="49" t="str">
        <x:v>Yes</x:v>
      </x:c>
      <x:c r="F42" s="49" t="str">
        <x:v>Completed, No Show, Cancelled, Rescheduled, Scheduled</x:v>
      </x:c>
      <x:c r="G42" s="49" t="str">
        <x:v>Rate denominator rule applies</x:v>
      </x:c>
    </x:row>
    <x:row r="43" ht="15" hidden="0" customHeight="1">
      <x:c r="A43" s="49" t="str">
        <x:v>appointments</x:v>
      </x:c>
      <x:c r="B43" s="49" t="str">
        <x:v>appointment_type</x:v>
      </x:c>
      <x:c r="C43" s="49" t="str">
        <x:v>Type of appointment</x:v>
      </x:c>
      <x:c r="D43" s="49" t="str">
        <x:v>varchar(50)</x:v>
      </x:c>
      <x:c r="E43" s="49" t="str">
        <x:v>No</x:v>
      </x:c>
      <x:c r="F43" s="49" t="str">
        <x:v>Standardised category</x:v>
      </x:c>
      <x:c r="G43" s="49" t="str"/>
    </x:row>
    <x:row r="44" ht="15" hidden="0" customHeight="1">
      <x:c r="A44" s="49" t="str">
        <x:v>appointments</x:v>
      </x:c>
      <x:c r="B44" s="49" t="str">
        <x:v>booking_channel</x:v>
      </x:c>
      <x:c r="C44" s="49" t="str">
        <x:v>Booking source</x:v>
      </x:c>
      <x:c r="D44" s="49" t="str">
        <x:v>varchar(30)</x:v>
      </x:c>
      <x:c r="E44" s="49" t="str">
        <x:v>No</x:v>
      </x:c>
      <x:c r="F44" s="49" t="str">
        <x:v>Standardised category</x:v>
      </x:c>
      <x:c r="G44" s="49" t="str"/>
    </x:row>
    <x:row r="45" ht="15" hidden="0" customHeight="1">
      <x:c r="A45" s="49" t="str">
        <x:v>ed_visits</x:v>
      </x:c>
      <x:c r="B45" s="49" t="str">
        <x:v>visit_id</x:v>
      </x:c>
      <x:c r="C45" s="49" t="str">
        <x:v>ED visit key</x:v>
      </x:c>
      <x:c r="D45" s="49" t="str">
        <x:v>varchar(12)</x:v>
      </x:c>
      <x:c r="E45" s="49" t="str">
        <x:v>Yes</x:v>
      </x:c>
      <x:c r="F45" s="49" t="str">
        <x:v>Unique; V0000001 format</x:v>
      </x:c>
      <x:c r="G45" s="49" t="str">
        <x:v>Fact key</x:v>
      </x:c>
    </x:row>
    <x:row r="46" ht="15" hidden="0" customHeight="1">
      <x:c r="A46" s="49" t="str">
        <x:v>ed_visits</x:v>
      </x:c>
      <x:c r="B46" s="49" t="str">
        <x:v>patient_id</x:v>
      </x:c>
      <x:c r="C46" s="49" t="str">
        <x:v>Patient key</x:v>
      </x:c>
      <x:c r="D46" s="49" t="str">
        <x:v>varchar(12)</x:v>
      </x:c>
      <x:c r="E46" s="49" t="str">
        <x:v>Yes</x:v>
      </x:c>
      <x:c r="F46" s="49" t="str">
        <x:v>Must exist in patients</x:v>
      </x:c>
      <x:c r="G46" s="49" t="str">
        <x:v>Foreign key</x:v>
      </x:c>
    </x:row>
    <x:row r="47" ht="15" hidden="0" customHeight="1">
      <x:c r="A47" s="49" t="str">
        <x:v>ed_visits</x:v>
      </x:c>
      <x:c r="B47" s="49" t="str">
        <x:v>facility_id</x:v>
      </x:c>
      <x:c r="C47" s="49" t="str">
        <x:v>Facility key</x:v>
      </x:c>
      <x:c r="D47" s="49" t="str">
        <x:v>varchar(10)</x:v>
      </x:c>
      <x:c r="E47" s="49" t="str">
        <x:v>Yes</x:v>
      </x:c>
      <x:c r="F47" s="49" t="str">
        <x:v>Must exist in facilities</x:v>
      </x:c>
      <x:c r="G47" s="49" t="str">
        <x:v>Foreign key</x:v>
      </x:c>
    </x:row>
    <x:row r="48" ht="15" hidden="0" customHeight="1">
      <x:c r="A48" s="49" t="str">
        <x:v>ed_visits</x:v>
      </x:c>
      <x:c r="B48" s="49" t="str">
        <x:v>arrival_time</x:v>
      </x:c>
      <x:c r="C48" s="49" t="str">
        <x:v>ED arrival timestamp</x:v>
      </x:c>
      <x:c r="D48" s="49" t="str">
        <x:v>timestamp</x:v>
      </x:c>
      <x:c r="E48" s="49" t="str">
        <x:v>Yes</x:v>
      </x:c>
      <x:c r="F48" s="49" t="str">
        <x:v>Valid timestamp</x:v>
      </x:c>
      <x:c r="G48" s="49" t="str">
        <x:v>Visit ordering field</x:v>
      </x:c>
    </x:row>
    <x:row r="49" ht="15" hidden="0" customHeight="1">
      <x:c r="A49" s="49" t="str">
        <x:v>ed_visits</x:v>
      </x:c>
      <x:c r="B49" s="49" t="str">
        <x:v>triage_category</x:v>
      </x:c>
      <x:c r="C49" s="49" t="str">
        <x:v>Illustrative category</x:v>
      </x:c>
      <x:c r="D49" s="49" t="str">
        <x:v>smallint</x:v>
      </x:c>
      <x:c r="E49" s="49" t="str">
        <x:v>No</x:v>
      </x:c>
      <x:c r="F49" s="49" t="str">
        <x:v>1 to 5</x:v>
      </x:c>
      <x:c r="G49" s="49" t="str">
        <x:v>Not for clinical use</x:v>
      </x:c>
    </x:row>
    <x:row r="50" ht="15" hidden="0" customHeight="1">
      <x:c r="A50" s="49" t="str">
        <x:v>ed_visits</x:v>
      </x:c>
      <x:c r="B50" s="49" t="str">
        <x:v>discharge_time</x:v>
      </x:c>
      <x:c r="C50" s="49" t="str">
        <x:v>Time patient left ED</x:v>
      </x:c>
      <x:c r="D50" s="49" t="str">
        <x:v>timestamp</x:v>
      </x:c>
      <x:c r="E50" s="49" t="str">
        <x:v>No</x:v>
      </x:c>
      <x:c r="F50" s="49" t="str">
        <x:v>&gt;= arrival_time</x:v>
      </x:c>
      <x:c r="G50" s="49" t="str">
        <x:v>LOS and revisit anchor</x:v>
      </x:c>
    </x:row>
    <x:row r="51" ht="15" hidden="0" customHeight="1">
      <x:c r="A51" s="49" t="str">
        <x:v>ed_visits</x:v>
      </x:c>
      <x:c r="B51" s="49" t="str">
        <x:v>disposition</x:v>
      </x:c>
      <x:c r="C51" s="49" t="str">
        <x:v>Outcome of ED visit</x:v>
      </x:c>
      <x:c r="D51" s="49" t="str">
        <x:v>varchar(30)</x:v>
      </x:c>
      <x:c r="E51" s="49" t="str">
        <x:v>No</x:v>
      </x:c>
      <x:c r="F51" s="49" t="str">
        <x:v>Standardised category</x:v>
      </x:c>
      <x:c r="G51" s="49" t="str"/>
    </x:row>
    <x:row r="52" ht="15" hidden="0" customHeight="1">
      <x:c r="A52" s="49" t="str">
        <x:v>ed_visits</x:v>
      </x:c>
      <x:c r="B52" s="49" t="str">
        <x:v>admitted_flag</x:v>
      </x:c>
      <x:c r="C52" s="49" t="str">
        <x:v>Admitted after ED</x:v>
      </x:c>
      <x:c r="D52" s="49" t="str">
        <x:v>boolean</x:v>
      </x:c>
      <x:c r="E52" s="49" t="str">
        <x:v>No</x:v>
      </x:c>
      <x:c r="F52" s="49" t="str">
        <x:v>TRUE/FALSE</x:v>
      </x:c>
      <x:c r="G52" s="49" t="str">
        <x:v>Derived from disposition</x:v>
      </x:c>
    </x:row>
    <x:row r="53" ht="15" hidden="0" customHeight="1">
      <x:c r="A53" s="51" t="str">
        <x:v>ed_visits</x:v>
      </x:c>
      <x:c r="B53" s="51" t="str">
        <x:v>presenting_group</x:v>
      </x:c>
      <x:c r="C53" s="51" t="str">
        <x:v>Broad synthetic presentation group</x:v>
      </x:c>
      <x:c r="D53" s="51" t="str">
        <x:v>varchar(30)</x:v>
      </x:c>
      <x:c r="E53" s="51" t="str">
        <x:v>No</x:v>
      </x:c>
      <x:c r="F53" s="51" t="str">
        <x:v>Standardised category</x:v>
      </x:c>
      <x:c r="G53" s="51" t="str">
        <x:v>No diagnosis detail</x:v>
      </x:c>
    </x:row>
  </x:sheetData>
  <x:mergeCells>
    <x:mergeCell ref="A1:G2"/>
  </x:mergeCells>
  <x:pageMargins left="0.7" right="0.7" top="0.75" bottom="0.75" header="0.3" footer="0.3"/>
  <x:tableParts count="1">
    <x:tablePart xmlns:r="http://schemas.openxmlformats.org/officeDocument/2006/relationships" r:id="Rc85ef2697b45476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48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  <x:col min="7" max="7" width="34" hidden="0" customWidth="1"/>
  </x:cols>
  <x:sheetData>
    <x:row r="1" ht="30" customHeight="1">
      <x:c r="A1" s="39" t="str">
        <x:v>KPI Dictionary</x:v>
      </x:c>
      <x:c r="B1" s="39" t="str">
        <x:v>KPI Dictionary</x:v>
      </x:c>
      <x:c r="C1" s="39" t="str">
        <x:v>KPI Dictionary</x:v>
      </x:c>
      <x:c r="D1" s="39" t="str">
        <x:v>KPI Dictionary</x:v>
      </x:c>
      <x:c r="E1" s="39" t="str">
        <x:v>KPI Dictionary</x:v>
      </x:c>
      <x:c r="F1" s="39" t="str">
        <x:v>KPI Dictionary</x:v>
      </x:c>
      <x:c r="G1" s="39" t="str">
        <x:v>KPI Dictionary</x:v>
      </x:c>
    </x:row>
    <x:row r="2" ht="30" customHeight="1">
      <x:c r="A2" s="39" t="str">
        <x:v>KPI Dictionary</x:v>
      </x:c>
      <x:c r="B2" s="39" t="str">
        <x:v>KPI Dictionary</x:v>
      </x:c>
      <x:c r="C2" s="39" t="str">
        <x:v>KPI Dictionary</x:v>
      </x:c>
      <x:c r="D2" s="39" t="str">
        <x:v>KPI Dictionary</x:v>
      </x:c>
      <x:c r="E2" s="39" t="str">
        <x:v>KPI Dictionary</x:v>
      </x:c>
      <x:c r="F2" s="39" t="str">
        <x:v>KPI Dictionary</x:v>
      </x:c>
      <x:c r="G2" s="39" t="str">
        <x:v>KPI Dictionary</x:v>
      </x:c>
    </x:row>
    <x:row r="3">
      <x:c r="A3" s="40"/>
      <x:c r="B3" s="40"/>
      <x:c r="C3" s="40"/>
      <x:c r="D3" s="40"/>
      <x:c r="E3" s="40"/>
      <x:c r="F3" s="40"/>
      <x:c r="G3" s="40"/>
    </x:row>
    <x:row r="4" ht="15" hidden="0" customHeight="1">
      <x:c r="A4" s="47" t="str">
        <x:v>KPI</x:v>
      </x:c>
      <x:c r="B4" s="47" t="str">
        <x:v>Definition</x:v>
      </x:c>
      <x:c r="C4" s="47" t="str">
        <x:v>Role</x:v>
      </x:c>
      <x:c r="D4" s="47" t="str">
        <x:v>Source</x:v>
      </x:c>
      <x:c r="E4" s="47" t="str">
        <x:v>Unit</x:v>
      </x:c>
      <x:c r="F4" s="47" t="str">
        <x:v>Why It Matters</x:v>
      </x:c>
      <x:c r="G4" s="47" t="str">
        <x:v>Guardrail / Caveat</x:v>
      </x:c>
    </x:row>
    <x:row r="5" ht="26.399999618530273" hidden="0" customHeight="1">
      <x:c r="A5" s="49" t="str">
        <x:v>Outstanding Referral Backlog</x:v>
      </x:c>
      <x:c r="B5" s="49" t="str">
        <x:v>Count of Open, Waiting or Booked referrals at the selected snapshot</x:v>
      </x:c>
      <x:c r="C5" s="49" t="str">
        <x:v>Primary outcome</x:v>
      </x:c>
      <x:c r="D5" s="49" t="str">
        <x:v>Referrals</x:v>
      </x:c>
      <x:c r="E5" s="49" t="str">
        <x:v>count</x:v>
      </x:c>
      <x:c r="F5" s="49" t="str">
        <x:v>Shows unresolved access demand</x:v>
      </x:c>
      <x:c r="G5" s="49" t="str">
        <x:v>Display snapshot date and volume by urgency</x:v>
      </x:c>
    </x:row>
    <x:row r="6" ht="15" hidden="0" customHeight="1">
      <x:c r="A6" s="49" t="str">
        <x:v>Average Waiting Days</x:v>
      </x:c>
      <x:c r="B6" s="49" t="str">
        <x:v>Average(snapshot date - referral date) for backlog referrals</x:v>
      </x:c>
      <x:c r="C6" s="49" t="str">
        <x:v>Driver</x:v>
      </x:c>
      <x:c r="D6" s="49" t="str">
        <x:v>Referrals</x:v>
      </x:c>
      <x:c r="E6" s="49" t="str">
        <x:v>days</x:v>
      </x:c>
      <x:c r="F6" s="49" t="str">
        <x:v>Shows overall delay</x:v>
      </x:c>
      <x:c r="G6" s="49" t="str">
        <x:v>Pair with median or wait bands</x:v>
      </x:c>
    </x:row>
    <x:row r="7" ht="15" hidden="0" customHeight="1">
      <x:c r="A7" s="49" t="str">
        <x:v>Over-60-Day Backlog %</x:v>
      </x:c>
      <x:c r="B7" s="49" t="str">
        <x:v>Backlog referrals waiting &gt;60 days / total backlog</x:v>
      </x:c>
      <x:c r="C7" s="49" t="str">
        <x:v>Primary outcome</x:v>
      </x:c>
      <x:c r="D7" s="49" t="str">
        <x:v>Referrals</x:v>
      </x:c>
      <x:c r="E7" s="49" t="str">
        <x:v>%</x:v>
      </x:c>
      <x:c r="F7" s="49" t="str">
        <x:v>Highlights long waits</x:v>
      </x:c>
      <x:c r="G7" s="49" t="str">
        <x:v>Show numerator and denominator</x:v>
      </x:c>
    </x:row>
    <x:row r="8" ht="26.399999618530273" hidden="0" customHeight="1">
      <x:c r="A8" s="49" t="str">
        <x:v>No-Show Rate</x:v>
      </x:c>
      <x:c r="B8" s="49" t="str">
        <x:v>No Show / (Completed + No Show)</x:v>
      </x:c>
      <x:c r="C8" s="49" t="str">
        <x:v>Primary outcome</x:v>
      </x:c>
      <x:c r="D8" s="49" t="str">
        <x:v>Appointments</x:v>
      </x:c>
      <x:c r="E8" s="49" t="str">
        <x:v>%</x:v>
      </x:c>
      <x:c r="F8" s="49" t="str">
        <x:v>Shows lost clinic capacity</x:v>
      </x:c>
      <x:c r="G8" s="49" t="str">
        <x:v>Exclude cancellations, reschedules and future schedules</x:v>
      </x:c>
    </x:row>
    <x:row r="9" ht="26.399999618530273" hidden="0" customHeight="1">
      <x:c r="A9" s="49" t="str">
        <x:v>Seen Within Target %</x:v>
      </x:c>
      <x:c r="B9" s="49" t="str">
        <x:v>Completed appointments with valid wait &lt;= department target / completed with valid times</x:v>
      </x:c>
      <x:c r="C9" s="49" t="str">
        <x:v>Primary outcome</x:v>
      </x:c>
      <x:c r="D9" s="49" t="str">
        <x:v>Appointments + Departments</x:v>
      </x:c>
      <x:c r="E9" s="49" t="str">
        <x:v>%</x:v>
      </x:c>
      <x:c r="F9" s="49" t="str">
        <x:v>Measures clinic timeliness</x:v>
      </x:c>
      <x:c r="G9" s="49" t="str">
        <x:v>Show excluded missing/invalid timestamps</x:v>
      </x:c>
    </x:row>
    <x:row r="10" ht="26.399999618530273" hidden="0" customHeight="1">
      <x:c r="A10" s="49" t="str">
        <x:v>Median ED Length of Stay</x:v>
      </x:c>
      <x:c r="B10" s="49" t="str">
        <x:v>Median(discharge time - arrival time) for valid completed visits</x:v>
      </x:c>
      <x:c r="C10" s="49" t="str">
        <x:v>Primary outcome</x:v>
      </x:c>
      <x:c r="D10" s="49" t="str">
        <x:v>ED Visits</x:v>
      </x:c>
      <x:c r="E10" s="49" t="str">
        <x:v>hours</x:v>
      </x:c>
      <x:c r="F10" s="49" t="str">
        <x:v>Shows typical ED flow</x:v>
      </x:c>
      <x:c r="G10" s="49" t="str">
        <x:v>Display visit count; exclude invalid/incomplete rows</x:v>
      </x:c>
    </x:row>
    <x:row r="11" ht="26.399999618530273" hidden="0" customHeight="1">
      <x:c r="A11" s="49" t="str">
        <x:v>7-Day ED Revisit Rate</x:v>
      </x:c>
      <x:c r="B11" s="49" t="str">
        <x:v>Eligible arrivals within 7 days of previous discharge / visits with usable history</x:v>
      </x:c>
      <x:c r="C11" s="49" t="str">
        <x:v>Guardrail</x:v>
      </x:c>
      <x:c r="D11" s="49" t="str">
        <x:v>ED Visits</x:v>
      </x:c>
      <x:c r="E11" s="49" t="str">
        <x:v>%</x:v>
      </x:c>
      <x:c r="F11" s="49" t="str">
        <x:v>Shows repeated ED demand</x:v>
      </x:c>
      <x:c r="G11" s="49" t="str">
        <x:v>Document ordering and denominator</x:v>
      </x:c>
    </x:row>
    <x:row r="12" ht="15" hidden="0" customHeight="1">
      <x:c r="A12" s="51" t="str">
        <x:v>Admission Rate</x:v>
      </x:c>
      <x:c r="B12" s="51" t="str">
        <x:v>Admitted ED visits / eligible ED visits</x:v>
      </x:c>
      <x:c r="C12" s="51" t="str">
        <x:v>Diagnostic</x:v>
      </x:c>
      <x:c r="D12" s="51" t="str">
        <x:v>ED Visits</x:v>
      </x:c>
      <x:c r="E12" s="51" t="str">
        <x:v>%</x:v>
      </x:c>
      <x:c r="F12" s="51" t="str">
        <x:v>Helps interpret length of stay</x:v>
      </x:c>
      <x:c r="G12" s="51" t="str">
        <x:v>Compare case mix and triage</x:v>
      </x:c>
    </x:row>
  </x:sheetData>
  <x:mergeCells>
    <x:mergeCell ref="A1:G2"/>
  </x:mergeCells>
  <x:pageMargins left="0.7" right="0.7" top="0.75" bottom="0.75" header="0.3" footer="0.3"/>
  <x:tableParts count="1">
    <x:tablePart xmlns:r="http://schemas.openxmlformats.org/officeDocument/2006/relationships" r:id="R3abc8e6b522f4f9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38" hidden="0" customWidth="1"/>
    <x:col min="5" max="5" width="38" hidden="0" customWidth="1"/>
    <x:col min="6" max="6" width="38" hidden="0" customWidth="1"/>
  </x:cols>
  <x:sheetData>
    <x:row r="1" ht="30" customHeight="1">
      <x:c r="A1" s="39" t="str">
        <x:v>Power BI Dashboard Plan</x:v>
      </x:c>
      <x:c r="B1" s="39" t="str">
        <x:v>Power BI Dashboard Plan</x:v>
      </x:c>
      <x:c r="C1" s="39" t="str">
        <x:v>Power BI Dashboard Plan</x:v>
      </x:c>
      <x:c r="D1" s="39" t="str">
        <x:v>Power BI Dashboard Plan</x:v>
      </x:c>
      <x:c r="E1" s="39" t="str">
        <x:v>Power BI Dashboard Plan</x:v>
      </x:c>
      <x:c r="F1" s="39" t="str">
        <x:v>Power BI Dashboard Plan</x:v>
      </x:c>
    </x:row>
    <x:row r="2" ht="30" customHeight="1">
      <x:c r="A2" s="39" t="str">
        <x:v>Power BI Dashboard Plan</x:v>
      </x:c>
      <x:c r="B2" s="39" t="str">
        <x:v>Power BI Dashboard Plan</x:v>
      </x:c>
      <x:c r="C2" s="39" t="str">
        <x:v>Power BI Dashboard Plan</x:v>
      </x:c>
      <x:c r="D2" s="39" t="str">
        <x:v>Power BI Dashboard Plan</x:v>
      </x:c>
      <x:c r="E2" s="39" t="str">
        <x:v>Power BI Dashboard Plan</x:v>
      </x:c>
      <x:c r="F2" s="39" t="str">
        <x:v>Power BI Dashboard Plan</x:v>
      </x:c>
    </x:row>
    <x:row r="3">
      <x:c r="A3" s="40"/>
      <x:c r="B3" s="40"/>
      <x:c r="C3" s="40"/>
      <x:c r="D3" s="40"/>
      <x:c r="E3" s="40"/>
      <x:c r="F3" s="40"/>
    </x:row>
    <x:row r="4" ht="15" hidden="0" customHeight="1">
      <x:c r="A4" s="47" t="str">
        <x:v>Page</x:v>
      </x:c>
      <x:c r="B4" s="47" t="str">
        <x:v>Section</x:v>
      </x:c>
      <x:c r="C4" s="47" t="str">
        <x:v>Visual</x:v>
      </x:c>
      <x:c r="D4" s="47" t="str">
        <x:v>Measure</x:v>
      </x:c>
      <x:c r="E4" s="47" t="str">
        <x:v>Dimension / Drill</x:v>
      </x:c>
      <x:c r="F4" s="47" t="str">
        <x:v>Question Answered</x:v>
      </x:c>
    </x:row>
    <x:row r="5" ht="26.399999618530273" hidden="0" customHeight="1">
      <x:c r="A5" s="49" t="str">
        <x:v>Page 1</x:v>
      </x:c>
      <x:c r="B5" s="49" t="str">
        <x:v>KPI strip</x:v>
      </x:c>
      <x:c r="C5" s="49" t="str">
        <x:v>Cards</x:v>
      </x:c>
      <x:c r="D5" s="49" t="str">
        <x:v>Backlog; Avg Wait; Over-60%; No-Show%; Within Target%</x:v>
      </x:c>
      <x:c r="E5" s="49" t="str">
        <x:v>Global filters</x:v>
      </x:c>
      <x:c r="F5" s="49" t="str">
        <x:v>Immediate access status</x:v>
      </x:c>
    </x:row>
    <x:row r="6" ht="15" hidden="0" customHeight="1">
      <x:c r="A6" s="49" t="str">
        <x:v>Page 1</x:v>
      </x:c>
      <x:c r="B6" s="49" t="str">
        <x:v>Monthly movement</x:v>
      </x:c>
      <x:c r="C6" s="49" t="str">
        <x:v>Line chart</x:v>
      </x:c>
      <x:c r="D6" s="49" t="str">
        <x:v>Referrals and completed first appointments</x:v>
      </x:c>
      <x:c r="E6" s="49" t="str">
        <x:v>Month</x:v>
      </x:c>
      <x:c r="F6" s="49" t="str">
        <x:v>Trend and capacity movement</x:v>
      </x:c>
    </x:row>
    <x:row r="7" ht="15" hidden="0" customHeight="1">
      <x:c r="A7" s="49" t="str">
        <x:v>Page 1</x:v>
      </x:c>
      <x:c r="B7" s="49" t="str">
        <x:v>Waiting mix</x:v>
      </x:c>
      <x:c r="C7" s="49" t="str">
        <x:v>Stacked column</x:v>
      </x:c>
      <x:c r="D7" s="49" t="str">
        <x:v>Backlog count</x:v>
      </x:c>
      <x:c r="E7" s="49" t="str">
        <x:v>Region + wait band</x:v>
      </x:c>
      <x:c r="F7" s="49" t="str">
        <x:v>Where long waits sit</x:v>
      </x:c>
    </x:row>
    <x:row r="8" ht="15" hidden="0" customHeight="1">
      <x:c r="A8" s="49" t="str">
        <x:v>Page 1</x:v>
      </x:c>
      <x:c r="B8" s="49" t="str">
        <x:v>Department pressure</x:v>
      </x:c>
      <x:c r="C8" s="49" t="str">
        <x:v>Horizontal bar</x:v>
      </x:c>
      <x:c r="D8" s="49" t="str">
        <x:v>Over-60-day backlog</x:v>
      </x:c>
      <x:c r="E8" s="49" t="str">
        <x:v>Department</x:v>
      </x:c>
      <x:c r="F8" s="49" t="str">
        <x:v>Prioritise investigation</x:v>
      </x:c>
    </x:row>
    <x:row r="9" ht="15" hidden="0" customHeight="1">
      <x:c r="A9" s="49" t="str">
        <x:v>Page 1</x:v>
      </x:c>
      <x:c r="B9" s="49" t="str">
        <x:v>Performance matrix</x:v>
      </x:c>
      <x:c r="C9" s="49" t="str">
        <x:v>Matrix</x:v>
      </x:c>
      <x:c r="D9" s="49" t="str">
        <x:v>Backlog, wait, no-show, timeliness</x:v>
      </x:c>
      <x:c r="E9" s="49" t="str">
        <x:v>Region &gt; Facility &gt; Department</x:v>
      </x:c>
      <x:c r="F9" s="49" t="str">
        <x:v>Drill-down view</x:v>
      </x:c>
    </x:row>
    <x:row r="10" ht="15" hidden="0" customHeight="1">
      <x:c r="A10" s="49" t="str">
        <x:v>Page 1</x:v>
      </x:c>
      <x:c r="B10" s="49" t="str">
        <x:v>No-show pattern</x:v>
      </x:c>
      <x:c r="C10" s="49" t="str">
        <x:v>Column chart</x:v>
      </x:c>
      <x:c r="D10" s="49" t="str">
        <x:v>No-show rate</x:v>
      </x:c>
      <x:c r="E10" s="49" t="str">
        <x:v>Day of week</x:v>
      </x:c>
      <x:c r="F10" s="49" t="str">
        <x:v>Scheduling pattern</x:v>
      </x:c>
    </x:row>
    <x:row r="11" ht="15" hidden="0" customHeight="1">
      <x:c r="A11" s="49" t="str">
        <x:v>Page 2</x:v>
      </x:c>
      <x:c r="B11" s="49" t="str">
        <x:v>KPI strip</x:v>
      </x:c>
      <x:c r="C11" s="49" t="str">
        <x:v>Cards</x:v>
      </x:c>
      <x:c r="D11" s="49" t="str">
        <x:v>ED visits; median LOS; revisit%; admission%</x:v>
      </x:c>
      <x:c r="E11" s="49" t="str">
        <x:v>Global filters</x:v>
      </x:c>
      <x:c r="F11" s="49" t="str">
        <x:v>Immediate ED status</x:v>
      </x:c>
    </x:row>
    <x:row r="12" ht="15" hidden="0" customHeight="1">
      <x:c r="A12" s="49" t="str">
        <x:v>Page 2</x:v>
      </x:c>
      <x:c r="B12" s="49" t="str">
        <x:v>Monthly flow</x:v>
      </x:c>
      <x:c r="C12" s="49" t="str">
        <x:v>Line chart</x:v>
      </x:c>
      <x:c r="D12" s="49" t="str">
        <x:v>ED visits and median LOS</x:v>
      </x:c>
      <x:c r="E12" s="49" t="str">
        <x:v>Month</x:v>
      </x:c>
      <x:c r="F12" s="49" t="str">
        <x:v>Volume and flow trend</x:v>
      </x:c>
    </x:row>
    <x:row r="13" ht="15" hidden="0" customHeight="1">
      <x:c r="A13" s="49" t="str">
        <x:v>Page 2</x:v>
      </x:c>
      <x:c r="B13" s="49" t="str">
        <x:v>Facility comparison</x:v>
      </x:c>
      <x:c r="C13" s="49" t="str">
        <x:v>Horizontal bar</x:v>
      </x:c>
      <x:c r="D13" s="49" t="str">
        <x:v>Median LOS</x:v>
      </x:c>
      <x:c r="E13" s="49" t="str">
        <x:v>Facility</x:v>
      </x:c>
      <x:c r="F13" s="49" t="str">
        <x:v>Locate flow pressure</x:v>
      </x:c>
    </x:row>
    <x:row r="14" ht="15" hidden="0" customHeight="1">
      <x:c r="A14" s="49" t="str">
        <x:v>Page 2</x:v>
      </x:c>
      <x:c r="B14" s="49" t="str">
        <x:v>Case mix</x:v>
      </x:c>
      <x:c r="C14" s="49" t="str">
        <x:v>Clustered column</x:v>
      </x:c>
      <x:c r="D14" s="49" t="str">
        <x:v>Visit count</x:v>
      </x:c>
      <x:c r="E14" s="49" t="str">
        <x:v>Triage + disposition</x:v>
      </x:c>
      <x:c r="F14" s="49" t="str">
        <x:v>Interpret demand mix</x:v>
      </x:c>
    </x:row>
    <x:row r="15" ht="15" hidden="0" customHeight="1">
      <x:c r="A15" s="49" t="str">
        <x:v>Page 2</x:v>
      </x:c>
      <x:c r="B15" s="49" t="str">
        <x:v>Revisit pattern</x:v>
      </x:c>
      <x:c r="C15" s="49" t="str">
        <x:v>Horizontal bar</x:v>
      </x:c>
      <x:c r="D15" s="49" t="str">
        <x:v>7-day revisit rate</x:v>
      </x:c>
      <x:c r="E15" s="49" t="str">
        <x:v>Presenting group</x:v>
      </x:c>
      <x:c r="F15" s="49" t="str">
        <x:v>Identify repeat demand</x:v>
      </x:c>
    </x:row>
    <x:row r="16" ht="15" hidden="0" customHeight="1">
      <x:c r="A16" s="51" t="str">
        <x:v>Page 2</x:v>
      </x:c>
      <x:c r="B16" s="51" t="str">
        <x:v>Operational detail</x:v>
      </x:c>
      <x:c r="C16" s="51" t="str">
        <x:v>Table</x:v>
      </x:c>
      <x:c r="D16" s="51" t="str">
        <x:v>Visits, LOS, revisit%, admission%</x:v>
      </x:c>
      <x:c r="E16" s="51" t="str">
        <x:v>Facility</x:v>
      </x:c>
      <x:c r="F16" s="51" t="str">
        <x:v>Follow-up and reconciliation</x:v>
      </x:c>
    </x:row>
  </x:sheetData>
  <x:mergeCells>
    <x:mergeCell ref="A1:F2"/>
  </x:mergeCells>
  <x:pageMargins left="0.7" right="0.7" top="0.75" bottom="0.75" header="0.3" footer="0.3"/>
  <x:tableParts count="1">
    <x:tablePart xmlns:r="http://schemas.openxmlformats.org/officeDocument/2006/relationships" r:id="Rb4396acf3c6e41f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25" hidden="0" customWidth="1"/>
    <x:col min="4" max="4" width="22" hidden="0" customWidth="1"/>
    <x:col min="5" max="5" width="38" hidden="0" customWidth="1"/>
    <x:col min="6" max="6" width="15" hidden="0" customWidth="1"/>
    <x:col min="7" max="7" width="30" hidden="0" customWidth="1"/>
    <x:col min="8" max="8" width="17" hidden="0" customWidth="1"/>
  </x:cols>
  <x:sheetData>
    <x:row r="1" ht="30" customHeight="1">
      <x:c r="A1" s="39" t="str">
        <x:v>Data Cleaning &amp; Validation Log</x:v>
      </x:c>
      <x:c r="B1" s="39" t="str">
        <x:v>Data Cleaning &amp; Validation Log</x:v>
      </x:c>
      <x:c r="C1" s="39" t="str">
        <x:v>Data Cleaning &amp; Validation Log</x:v>
      </x:c>
      <x:c r="D1" s="39" t="str">
        <x:v>Data Cleaning &amp; Validation Log</x:v>
      </x:c>
      <x:c r="E1" s="39" t="str">
        <x:v>Data Cleaning &amp; Validation Log</x:v>
      </x:c>
      <x:c r="F1" s="39" t="str">
        <x:v>Data Cleaning &amp; Validation Log</x:v>
      </x:c>
      <x:c r="G1" s="39" t="str">
        <x:v>Data Cleaning &amp; Validation Log</x:v>
      </x:c>
      <x:c r="H1" s="39" t="str">
        <x:v>Data Cleaning &amp; Validation Log</x:v>
      </x:c>
    </x:row>
    <x:row r="2" ht="30" customHeight="1">
      <x:c r="A2" s="39" t="str">
        <x:v>Data Cleaning &amp; Validation Log</x:v>
      </x:c>
      <x:c r="B2" s="39" t="str">
        <x:v>Data Cleaning &amp; Validation Log</x:v>
      </x:c>
      <x:c r="C2" s="39" t="str">
        <x:v>Data Cleaning &amp; Validation Log</x:v>
      </x:c>
      <x:c r="D2" s="39" t="str">
        <x:v>Data Cleaning &amp; Validation Log</x:v>
      </x:c>
      <x:c r="E2" s="39" t="str">
        <x:v>Data Cleaning &amp; Validation Log</x:v>
      </x:c>
      <x:c r="F2" s="39" t="str">
        <x:v>Data Cleaning &amp; Validation Log</x:v>
      </x:c>
      <x:c r="G2" s="39" t="str">
        <x:v>Data Cleaning &amp; Validation Log</x:v>
      </x:c>
      <x:c r="H2" s="39" t="str">
        <x:v>Data Cleaning &amp; Validation Log</x:v>
      </x:c>
    </x:row>
    <x:row r="3">
      <x:c r="A3" s="62" t="str">
        <x:v>Total Issues</x:v>
      </x:c>
      <x:c r="B3" s="63" t="n">
        <x:f>COUNTA(A7:A36)</x:f>
        <x:v>19</x:v>
      </x:c>
      <x:c r="C3" s="63" t="str">
        <x:v>Completed</x:v>
      </x:c>
      <x:c r="D3" s="63" t="n">
        <x:f>COUNTIF(H7:H36,"Complete")</x:f>
        <x:v>0</x:v>
      </x:c>
      <x:c r="E3" s="62" t="str">
        <x:v>Progress</x:v>
      </x:c>
      <x:c r="F3" s="64" t="n">
        <x:f>IF(B3=0,0,D3/B3)</x:f>
        <x:v>0</x:v>
      </x:c>
      <x:c r="G3" s="62" t="str">
        <x:v>Owner</x:v>
      </x:c>
      <x:c r="H3" s="62" t="str">
        <x:v>Sumit Uniyal</x:v>
      </x:c>
    </x:row>
    <x:row r="4">
      <x:c r="A4" s="40"/>
      <x:c r="B4" s="40"/>
      <x:c r="C4" s="40"/>
      <x:c r="D4" s="40"/>
      <x:c r="E4" s="40"/>
      <x:c r="F4" s="40"/>
      <x:c r="G4" s="40"/>
      <x:c r="H4" s="40"/>
    </x:row>
    <x:row r="5" ht="15" hidden="0" customHeight="1">
      <x:c r="A5" s="65" t="str">
        <x:v>Yellow cells are your working fields. Record the detection query/result before applying a cleaning decision.</x:v>
      </x:c>
      <x:c r="B5" s="65" t="str">
        <x:v>Yellow cells are your working fields. Record the detection query/result before applying a cleaning decision.</x:v>
      </x:c>
      <x:c r="C5" s="65" t="str">
        <x:v>Yellow cells are your working fields. Record the detection query/result before applying a cleaning decision.</x:v>
      </x:c>
      <x:c r="D5" s="65" t="str">
        <x:v>Yellow cells are your working fields. Record the detection query/result before applying a cleaning decision.</x:v>
      </x:c>
      <x:c r="E5" s="65" t="str">
        <x:v>Yellow cells are your working fields. Record the detection query/result before applying a cleaning decision.</x:v>
      </x:c>
      <x:c r="F5" s="65" t="str">
        <x:v>Yellow cells are your working fields. Record the detection query/result before applying a cleaning decision.</x:v>
      </x:c>
      <x:c r="G5" s="65" t="str">
        <x:v>Yellow cells are your working fields. Record the detection query/result before applying a cleaning decision.</x:v>
      </x:c>
      <x:c r="H5" s="65" t="str">
        <x:v>Yellow cells are your working fields. Record the detection query/result before applying a cleaning decision.</x:v>
      </x:c>
    </x:row>
    <x:row r="6" ht="15" hidden="0" customHeight="1">
      <x:c r="A6" s="47" t="str">
        <x:v>Issue ID</x:v>
      </x:c>
      <x:c r="B6" s="47" t="str">
        <x:v>Table</x:v>
      </x:c>
      <x:c r="C6" s="47" t="str">
        <x:v>Column</x:v>
      </x:c>
      <x:c r="D6" s="47" t="str">
        <x:v>Issue Type</x:v>
      </x:c>
      <x:c r="E6" s="47" t="str">
        <x:v>Planned Action</x:v>
      </x:c>
      <x:c r="F6" s="47" t="str">
        <x:v>Rows Affected</x:v>
      </x:c>
      <x:c r="G6" s="47" t="str">
        <x:v>Validation Result</x:v>
      </x:c>
      <x:c r="H6" s="47" t="str">
        <x:v>Status</x:v>
      </x:c>
    </x:row>
    <x:row r="7" ht="15" hidden="0" customHeight="1">
      <x:c r="A7" s="49" t="str">
        <x:v>DQ-01</x:v>
      </x:c>
      <x:c r="B7" s="49" t="str">
        <x:v>facilities</x:v>
      </x:c>
      <x:c r="C7" s="49" t="str">
        <x:v>hospital_region</x:v>
      </x:c>
      <x:c r="D7" s="49" t="str">
        <x:v>Format variants</x:v>
      </x:c>
      <x:c r="E7" s="49" t="str">
        <x:v>Trim and standardise case</x:v>
      </x:c>
      <x:c r="F7" s="66" t="str"/>
      <x:c r="G7" s="66" t="str"/>
      <x:c r="H7" s="66" t="str">
        <x:v>Not Started</x:v>
      </x:c>
    </x:row>
    <x:row r="8" ht="15" hidden="0" customHeight="1">
      <x:c r="A8" s="49" t="str">
        <x:v>DQ-02</x:v>
      </x:c>
      <x:c r="B8" s="49" t="str">
        <x:v>all tables</x:v>
      </x:c>
      <x:c r="C8" s="49" t="str">
        <x:v>primary key</x:v>
      </x:c>
      <x:c r="D8" s="49" t="str">
        <x:v>Exact duplicates</x:v>
      </x:c>
      <x:c r="E8" s="49" t="str">
        <x:v>Keep one deterministic row</x:v>
      </x:c>
      <x:c r="F8" s="66" t="str"/>
      <x:c r="G8" s="66" t="str"/>
      <x:c r="H8" s="66" t="str">
        <x:v>Not Started</x:v>
      </x:c>
    </x:row>
    <x:row r="9" ht="15" hidden="0" customHeight="1">
      <x:c r="A9" s="49" t="str">
        <x:v>DQ-03</x:v>
      </x:c>
      <x:c r="B9" s="49" t="str">
        <x:v>departments</x:v>
      </x:c>
      <x:c r="C9" s="49" t="str">
        <x:v>department_name</x:v>
      </x:c>
      <x:c r="D9" s="49" t="str">
        <x:v>Format variants</x:v>
      </x:c>
      <x:c r="E9" s="49" t="str">
        <x:v>Trim and standardise mapping</x:v>
      </x:c>
      <x:c r="F9" s="66" t="str"/>
      <x:c r="G9" s="66" t="str"/>
      <x:c r="H9" s="66" t="str">
        <x:v>Not Started</x:v>
      </x:c>
    </x:row>
    <x:row r="10" ht="15" hidden="0" customHeight="1">
      <x:c r="A10" s="49" t="str">
        <x:v>DQ-04</x:v>
      </x:c>
      <x:c r="B10" s="49" t="str">
        <x:v>patients</x:v>
      </x:c>
      <x:c r="C10" s="49" t="str">
        <x:v>ethnicity</x:v>
      </x:c>
      <x:c r="D10" s="49" t="str">
        <x:v>Blank/sentinel</x:v>
      </x:c>
      <x:c r="E10" s="49" t="str">
        <x:v>Convert to NULL or Unknown</x:v>
      </x:c>
      <x:c r="F10" s="66" t="str"/>
      <x:c r="G10" s="66" t="str"/>
      <x:c r="H10" s="66" t="str">
        <x:v>Not Started</x:v>
      </x:c>
    </x:row>
    <x:row r="11" ht="15" hidden="0" customHeight="1">
      <x:c r="A11" s="49" t="str">
        <x:v>DQ-05</x:v>
      </x:c>
      <x:c r="B11" s="49" t="str">
        <x:v>patients</x:v>
      </x:c>
      <x:c r="C11" s="49" t="str">
        <x:v>gender/city</x:v>
      </x:c>
      <x:c r="D11" s="49" t="str">
        <x:v>Format variants</x:v>
      </x:c>
      <x:c r="E11" s="49" t="str">
        <x:v>Standardise categories and text</x:v>
      </x:c>
      <x:c r="F11" s="66" t="str"/>
      <x:c r="G11" s="66" t="str"/>
      <x:c r="H11" s="66" t="str">
        <x:v>Not Started</x:v>
      </x:c>
    </x:row>
    <x:row r="12" ht="15" hidden="0" customHeight="1">
      <x:c r="A12" s="49" t="str">
        <x:v>DQ-06</x:v>
      </x:c>
      <x:c r="B12" s="49" t="str">
        <x:v>patients</x:v>
      </x:c>
      <x:c r="C12" s="49" t="str">
        <x:v>date_of_birth</x:v>
      </x:c>
      <x:c r="D12" s="49" t="str">
        <x:v>Implausible dates</x:v>
      </x:c>
      <x:c r="E12" s="49" t="str">
        <x:v>Set invalid value NULL and flag</x:v>
      </x:c>
      <x:c r="F12" s="66" t="str"/>
      <x:c r="G12" s="66" t="str"/>
      <x:c r="H12" s="66" t="str">
        <x:v>Not Started</x:v>
      </x:c>
    </x:row>
    <x:row r="13" ht="15" hidden="0" customHeight="1">
      <x:c r="A13" s="49" t="str">
        <x:v>DQ-07</x:v>
      </x:c>
      <x:c r="B13" s="49" t="str">
        <x:v>patients</x:v>
      </x:c>
      <x:c r="C13" s="49" t="str">
        <x:v>deprivation_quintile</x:v>
      </x:c>
      <x:c r="D13" s="49" t="str">
        <x:v>Invalid range</x:v>
      </x:c>
      <x:c r="E13" s="49" t="str">
        <x:v>Set invalid value NULL and flag</x:v>
      </x:c>
      <x:c r="F13" s="66" t="str"/>
      <x:c r="G13" s="66" t="str"/>
      <x:c r="H13" s="66" t="str">
        <x:v>Not Started</x:v>
      </x:c>
    </x:row>
    <x:row r="14" ht="15" hidden="0" customHeight="1">
      <x:c r="A14" s="49" t="str">
        <x:v>DQ-08</x:v>
      </x:c>
      <x:c r="B14" s="49" t="str">
        <x:v>referrals</x:v>
      </x:c>
      <x:c r="C14" s="49" t="str">
        <x:v>referral_status</x:v>
      </x:c>
      <x:c r="D14" s="49" t="str">
        <x:v>Format variants</x:v>
      </x:c>
      <x:c r="E14" s="49" t="str">
        <x:v>Map to canonical status</x:v>
      </x:c>
      <x:c r="F14" s="66" t="str"/>
      <x:c r="G14" s="66" t="str"/>
      <x:c r="H14" s="66" t="str">
        <x:v>Not Started</x:v>
      </x:c>
    </x:row>
    <x:row r="15" ht="15" hidden="0" customHeight="1">
      <x:c r="A15" s="49" t="str">
        <x:v>DQ-09</x:v>
      </x:c>
      <x:c r="B15" s="49" t="str">
        <x:v>referrals</x:v>
      </x:c>
      <x:c r="C15" s="49" t="str">
        <x:v>urgency</x:v>
      </x:c>
      <x:c r="D15" s="49" t="str">
        <x:v>Blank/sentinel</x:v>
      </x:c>
      <x:c r="E15" s="49" t="str">
        <x:v>Convert to NULL/Unknown; do not infer</x:v>
      </x:c>
      <x:c r="F15" s="66" t="str"/>
      <x:c r="G15" s="66" t="str"/>
      <x:c r="H15" s="66" t="str">
        <x:v>Not Started</x:v>
      </x:c>
    </x:row>
    <x:row r="16" ht="15" hidden="0" customHeight="1">
      <x:c r="A16" s="49" t="str">
        <x:v>DQ-10</x:v>
      </x:c>
      <x:c r="B16" s="49" t="str">
        <x:v>referrals</x:v>
      </x:c>
      <x:c r="C16" s="49" t="str">
        <x:v>department_id</x:v>
      </x:c>
      <x:c r="D16" s="49" t="str">
        <x:v>Orphan key</x:v>
      </x:c>
      <x:c r="E16" s="49" t="str">
        <x:v>Quarantine; do not fabricate parent</x:v>
      </x:c>
      <x:c r="F16" s="66" t="str"/>
      <x:c r="G16" s="66" t="str"/>
      <x:c r="H16" s="66" t="str">
        <x:v>Not Started</x:v>
      </x:c>
    </x:row>
    <x:row r="17" ht="15" hidden="0" customHeight="1">
      <x:c r="A17" s="49" t="str">
        <x:v>DQ-11</x:v>
      </x:c>
      <x:c r="B17" s="49" t="str">
        <x:v>referrals</x:v>
      </x:c>
      <x:c r="C17" s="49" t="str">
        <x:v>first_appointment_date</x:v>
      </x:c>
      <x:c r="D17" s="49" t="str">
        <x:v>Impossible timeline</x:v>
      </x:c>
      <x:c r="E17" s="49" t="str">
        <x:v>Quarantine or NULL dependent date + flag</x:v>
      </x:c>
      <x:c r="F17" s="66" t="str"/>
      <x:c r="G17" s="66" t="str"/>
      <x:c r="H17" s="66" t="str">
        <x:v>Not Started</x:v>
      </x:c>
    </x:row>
    <x:row r="18" ht="15" hidden="0" customHeight="1">
      <x:c r="A18" s="49" t="str">
        <x:v>DQ-12</x:v>
      </x:c>
      <x:c r="B18" s="49" t="str">
        <x:v>referrals</x:v>
      </x:c>
      <x:c r="C18" s="49" t="str">
        <x:v>priority_score</x:v>
      </x:c>
      <x:c r="D18" s="49" t="str">
        <x:v>Invalid range</x:v>
      </x:c>
      <x:c r="E18" s="49" t="str">
        <x:v>Set invalid value NULL and flag</x:v>
      </x:c>
      <x:c r="F18" s="66" t="str"/>
      <x:c r="G18" s="66" t="str"/>
      <x:c r="H18" s="66" t="str">
        <x:v>Not Started</x:v>
      </x:c>
    </x:row>
    <x:row r="19" ht="15" hidden="0" customHeight="1">
      <x:c r="A19" s="49" t="str">
        <x:v>DQ-13</x:v>
      </x:c>
      <x:c r="B19" s="49" t="str">
        <x:v>appointments</x:v>
      </x:c>
      <x:c r="C19" s="49" t="str">
        <x:v>appointment_status</x:v>
      </x:c>
      <x:c r="D19" s="49" t="str">
        <x:v>Format variants</x:v>
      </x:c>
      <x:c r="E19" s="49" t="str">
        <x:v>Map to canonical status</x:v>
      </x:c>
      <x:c r="F19" s="66" t="str"/>
      <x:c r="G19" s="66" t="str"/>
      <x:c r="H19" s="66" t="str">
        <x:v>Not Started</x:v>
      </x:c>
    </x:row>
    <x:row r="20" ht="15" hidden="0" customHeight="1">
      <x:c r="A20" s="49" t="str">
        <x:v>DQ-14</x:v>
      </x:c>
      <x:c r="B20" s="49" t="str">
        <x:v>appointments</x:v>
      </x:c>
      <x:c r="C20" s="49" t="str">
        <x:v>check_in_time</x:v>
      </x:c>
      <x:c r="D20" s="49" t="str">
        <x:v>Missing when completed</x:v>
      </x:c>
      <x:c r="E20" s="49" t="str">
        <x:v>Keep NULL and flag</x:v>
      </x:c>
      <x:c r="F20" s="66" t="str"/>
      <x:c r="G20" s="66" t="str"/>
      <x:c r="H20" s="66" t="str">
        <x:v>Not Started</x:v>
      </x:c>
    </x:row>
    <x:row r="21" ht="15" hidden="0" customHeight="1">
      <x:c r="A21" s="49" t="str">
        <x:v>DQ-15</x:v>
      </x:c>
      <x:c r="B21" s="49" t="str">
        <x:v>appointments</x:v>
      </x:c>
      <x:c r="C21" s="49" t="str">
        <x:v>seen_time</x:v>
      </x:c>
      <x:c r="D21" s="49" t="str">
        <x:v>Before check-in</x:v>
      </x:c>
      <x:c r="E21" s="49" t="str">
        <x:v>Set invalid seen time NULL and flag</x:v>
      </x:c>
      <x:c r="F21" s="66" t="str"/>
      <x:c r="G21" s="66" t="str"/>
      <x:c r="H21" s="66" t="str">
        <x:v>Not Started</x:v>
      </x:c>
    </x:row>
    <x:row r="22" ht="15" hidden="0" customHeight="1">
      <x:c r="A22" s="49" t="str">
        <x:v>DQ-16</x:v>
      </x:c>
      <x:c r="B22" s="49" t="str">
        <x:v>appointments</x:v>
      </x:c>
      <x:c r="C22" s="49" t="str">
        <x:v>patient/referral id</x:v>
      </x:c>
      <x:c r="D22" s="49" t="str">
        <x:v>Orphan keys</x:v>
      </x:c>
      <x:c r="E22" s="49" t="str">
        <x:v>Quarantine affected rows</x:v>
      </x:c>
      <x:c r="F22" s="66" t="str"/>
      <x:c r="G22" s="66" t="str"/>
      <x:c r="H22" s="66" t="str">
        <x:v>Not Started</x:v>
      </x:c>
    </x:row>
    <x:row r="23" ht="15" hidden="0" customHeight="1">
      <x:c r="A23" s="49" t="str">
        <x:v>DQ-17</x:v>
      </x:c>
      <x:c r="B23" s="49" t="str">
        <x:v>ed_visits</x:v>
      </x:c>
      <x:c r="C23" s="49" t="str">
        <x:v>triage_category</x:v>
      </x:c>
      <x:c r="D23" s="49" t="str">
        <x:v>Invalid range</x:v>
      </x:c>
      <x:c r="E23" s="49" t="str">
        <x:v>Set invalid value NULL and flag</x:v>
      </x:c>
      <x:c r="F23" s="66" t="str"/>
      <x:c r="G23" s="66" t="str"/>
      <x:c r="H23" s="66" t="str">
        <x:v>Not Started</x:v>
      </x:c>
    </x:row>
    <x:row r="24" ht="15" hidden="0" customHeight="1">
      <x:c r="A24" s="49" t="str">
        <x:v>DQ-18</x:v>
      </x:c>
      <x:c r="B24" s="49" t="str">
        <x:v>ed_visits</x:v>
      </x:c>
      <x:c r="C24" s="49" t="str">
        <x:v>discharge_time</x:v>
      </x:c>
      <x:c r="D24" s="49" t="str">
        <x:v>Missing/impossible</x:v>
      </x:c>
      <x:c r="E24" s="49" t="str">
        <x:v>Retain valid NULLs; flag impossible rows</x:v>
      </x:c>
      <x:c r="F24" s="66" t="str"/>
      <x:c r="G24" s="66" t="str"/>
      <x:c r="H24" s="66" t="str">
        <x:v>Not Started</x:v>
      </x:c>
    </x:row>
    <x:row r="25" ht="15" hidden="0" customHeight="1">
      <x:c r="A25" s="51" t="str">
        <x:v>DQ-19</x:v>
      </x:c>
      <x:c r="B25" s="51" t="str">
        <x:v>ed_visits</x:v>
      </x:c>
      <x:c r="C25" s="51" t="str">
        <x:v>facility_id</x:v>
      </x:c>
      <x:c r="D25" s="51" t="str">
        <x:v>Orphan key</x:v>
      </x:c>
      <x:c r="E25" s="51" t="str">
        <x:v>Quarantine affected rows</x:v>
      </x:c>
      <x:c r="F25" s="67" t="str"/>
      <x:c r="G25" s="67" t="str"/>
      <x:c r="H25" s="67" t="str">
        <x:v>Not Started</x:v>
      </x:c>
    </x:row>
  </x:sheetData>
  <x:mergeCells>
    <x:mergeCell ref="A1:H2"/>
    <x:mergeCell ref="A5:H5"/>
  </x:mergeCells>
  <x:conditionalFormatting sqref="H7:H25">
    <x:cfRule type="containsText" dxfId="0" priority="1" operator="containsText" text="Complete"/>
    <x:cfRule type="containsText" dxfId="1" priority="2" operator="containsText" text="In Progress"/>
    <x:cfRule type="containsText" dxfId="2" priority="3" operator="containsText" text="Not Started"/>
  </x:conditionalFormatting>
  <x:dataValidations count="1">
    <x:dataValidation type="list" sqref="H7:H25">
      <x:formula1>"Not Started,In Progress,Complete"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ed62c37cc84643"/>
  </x:tableParts>
</x:worksheet>
</file>